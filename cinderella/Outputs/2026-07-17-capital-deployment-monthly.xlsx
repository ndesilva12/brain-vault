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 + Revenue" sheetId="1" state="visible" r:id="rId1"/>
    <sheet xmlns:r="http://schemas.openxmlformats.org/officeDocument/2006/relationships" name="Returns &amp; Waterf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–&quot;"/>
    <numFmt numFmtId="165" formatCode="0.00&quot;x&quot;"/>
  </numFmts>
  <fonts count="1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FFD966"/>
    </font>
    <font>
      <b val="1"/>
    </font>
    <font>
      <i val="1"/>
      <color rgb="00595959"/>
      <sz val="8"/>
    </font>
    <font>
      <b val="1"/>
      <i val="1"/>
    </font>
    <font>
      <b val="1"/>
      <color rgb="00BF9000"/>
    </font>
    <font>
      <i val="1"/>
      <color rgb="00404040"/>
      <sz val="9"/>
    </font>
    <font>
      <b val="1"/>
      <color rgb="00FFFFFF"/>
      <sz val="12"/>
    </font>
    <font>
      <b val="1"/>
      <sz val="9"/>
    </font>
    <font>
      <color rgb="00000000"/>
    </font>
    <font>
      <b val="1"/>
      <color rgb="00000000"/>
    </font>
    <font>
      <b val="1"/>
      <i val="1"/>
      <color rgb="001F6E5E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1F6E5E"/>
      </patternFill>
    </fill>
    <fill>
      <patternFill patternType="solid">
        <fgColor rgb="00E2EFDA"/>
      </patternFill>
    </fill>
    <fill>
      <patternFill patternType="solid">
        <fgColor rgb="00FFF7E0"/>
      </patternFill>
    </fill>
    <fill>
      <patternFill patternType="solid">
        <fgColor rgb="007030A0"/>
      </patternFill>
    </fill>
    <fill>
      <patternFill patternType="solid">
        <fgColor rgb="00EADCF5"/>
      </patternFill>
    </fill>
    <fill>
      <patternFill patternType="solid">
        <fgColor rgb="00808080"/>
      </patternFill>
    </fill>
    <fill>
      <patternFill patternType="solid">
        <fgColor rgb="00BF9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164" fontId="4" fillId="4" borderId="0" pivotButton="0" quotePrefix="0" xfId="0"/>
    <xf numFmtId="0" fontId="0" fillId="4" borderId="0" pivotButton="0" quotePrefix="0" xfId="0"/>
    <xf numFmtId="0" fontId="2" fillId="5" borderId="0" pivotButton="0" quotePrefix="0" xfId="0"/>
    <xf numFmtId="164" fontId="2" fillId="5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6" borderId="0" pivotButton="0" quotePrefix="0" xfId="0"/>
    <xf numFmtId="164" fontId="2" fillId="6" borderId="0" pivotButton="0" quotePrefix="0" xfId="0"/>
    <xf numFmtId="0" fontId="4" fillId="7" borderId="0" pivotButton="0" quotePrefix="0" xfId="0"/>
    <xf numFmtId="164" fontId="4" fillId="7" borderId="0" pivotButton="0" quotePrefix="0" xfId="0"/>
    <xf numFmtId="0" fontId="7" fillId="8" borderId="0" pivotButton="0" quotePrefix="0" xfId="0"/>
    <xf numFmtId="164" fontId="7" fillId="8" borderId="0" pivotButton="0" quotePrefix="0" xfId="0"/>
    <xf numFmtId="0" fontId="2" fillId="9" borderId="0" pivotButton="0" quotePrefix="0" xfId="0"/>
    <xf numFmtId="0" fontId="0" fillId="9" borderId="0" pivotButton="0" quotePrefix="0" xfId="0"/>
    <xf numFmtId="0" fontId="4" fillId="10" borderId="0" pivotButton="0" quotePrefix="0" xfId="0"/>
    <xf numFmtId="164" fontId="4" fillId="10" borderId="0" pivotButton="0" quotePrefix="0" xfId="0"/>
    <xf numFmtId="0" fontId="2" fillId="11" borderId="0" pivotButton="0" quotePrefix="0" xfId="0"/>
    <xf numFmtId="0" fontId="0" fillId="11" borderId="0" pivotButton="0" quotePrefix="0" xfId="0"/>
    <xf numFmtId="0" fontId="8" fillId="0" borderId="0" pivotButton="0" quotePrefix="0" xfId="0"/>
    <xf numFmtId="0" fontId="9" fillId="2" borderId="0" pivotButton="0" quotePrefix="0" xfId="0"/>
    <xf numFmtId="164" fontId="1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64" fontId="11" fillId="0" borderId="0" pivotButton="0" quotePrefix="0" xfId="0"/>
    <xf numFmtId="164" fontId="12" fillId="0" borderId="0" pivotButton="0" quotePrefix="0" xfId="0"/>
    <xf numFmtId="0" fontId="12" fillId="7" borderId="0" pivotButton="0" quotePrefix="0" xfId="0"/>
    <xf numFmtId="164" fontId="12" fillId="7" borderId="0" pivotButton="0" quotePrefix="0" xfId="0"/>
    <xf numFmtId="0" fontId="2" fillId="12" borderId="0" pivotButton="0" quotePrefix="0" xfId="0"/>
    <xf numFmtId="0" fontId="0" fillId="12" borderId="0" pivotButton="0" quotePrefix="0" xfId="0"/>
    <xf numFmtId="0" fontId="12" fillId="8" borderId="0" pivotButton="0" quotePrefix="0" xfId="0"/>
    <xf numFmtId="164" fontId="12" fillId="8" borderId="0" pivotButton="0" quotePrefix="0" xfId="0"/>
    <xf numFmtId="0" fontId="12" fillId="0" borderId="0" pivotButton="0" quotePrefix="0" xfId="0"/>
    <xf numFmtId="165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12" customWidth="1" min="20" max="20"/>
    <col width="50" customWidth="1" min="21" max="21"/>
  </cols>
  <sheetData>
    <row r="1" ht="22" customHeight="1">
      <c r="A1" s="1" t="inlineStr">
        <is>
          <t>Cinderella Corp — Capital Deployment + Revenue Phase-In · $1.5M seed · Jul 2026 → Dec 2027</t>
        </is>
      </c>
    </row>
    <row r="3">
      <c r="A3" s="2" t="inlineStr">
        <is>
          <t>Line item</t>
        </is>
      </c>
      <c r="B3" s="3" t="inlineStr">
        <is>
          <t>Jul-26</t>
        </is>
      </c>
      <c r="C3" s="3" t="inlineStr">
        <is>
          <t>Aug-26</t>
        </is>
      </c>
      <c r="D3" s="3" t="inlineStr">
        <is>
          <t>Sep-26</t>
        </is>
      </c>
      <c r="E3" s="3" t="inlineStr">
        <is>
          <t>Oct-26</t>
        </is>
      </c>
      <c r="F3" s="3" t="inlineStr">
        <is>
          <t>Nov-26</t>
        </is>
      </c>
      <c r="G3" s="3" t="inlineStr">
        <is>
          <t>Dec-26</t>
        </is>
      </c>
      <c r="H3" s="4" t="inlineStr">
        <is>
          <t>Jan-27</t>
        </is>
      </c>
      <c r="I3" s="3" t="inlineStr">
        <is>
          <t>Feb-27</t>
        </is>
      </c>
      <c r="J3" s="3" t="inlineStr">
        <is>
          <t>Mar-27</t>
        </is>
      </c>
      <c r="K3" s="3" t="inlineStr">
        <is>
          <t>Apr-27</t>
        </is>
      </c>
      <c r="L3" s="3" t="inlineStr">
        <is>
          <t>May-27</t>
        </is>
      </c>
      <c r="M3" s="3" t="inlineStr">
        <is>
          <t>Jun-27</t>
        </is>
      </c>
      <c r="N3" s="3" t="inlineStr">
        <is>
          <t>Jul-27</t>
        </is>
      </c>
      <c r="O3" s="3" t="inlineStr">
        <is>
          <t>Aug-27</t>
        </is>
      </c>
      <c r="P3" s="3" t="inlineStr">
        <is>
          <t>Sep-27</t>
        </is>
      </c>
      <c r="Q3" s="3" t="inlineStr">
        <is>
          <t>Oct-27</t>
        </is>
      </c>
      <c r="R3" s="3" t="inlineStr">
        <is>
          <t>Nov-27</t>
        </is>
      </c>
      <c r="S3" s="3" t="inlineStr">
        <is>
          <t>Dec-27</t>
        </is>
      </c>
      <c r="T3" s="3" t="inlineStr">
        <is>
          <t>TOTAL</t>
        </is>
      </c>
      <c r="U3" s="2" t="inlineStr">
        <is>
          <t>Timing rationale</t>
        </is>
      </c>
    </row>
    <row r="4">
      <c r="A4" s="2" t="inlineStr">
        <is>
          <t>◤ SPENDING (capital OUT)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6" t="inlineStr">
        <is>
          <t>LEGAL  (Sunjay-overseen)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</row>
    <row r="6">
      <c r="A6" t="inlineStr">
        <is>
          <t xml:space="preserve">   Engagement / retainer</t>
        </is>
      </c>
      <c r="B6" s="8" t="n">
        <v>10000</v>
      </c>
      <c r="T6" s="9" t="n">
        <v>10000</v>
      </c>
      <c r="U6" s="10" t="inlineStr">
        <is>
          <t>At close</t>
        </is>
      </c>
    </row>
    <row r="7">
      <c r="A7" t="inlineStr">
        <is>
          <t xml:space="preserve">   NCAA — NIL contracts / compliance</t>
        </is>
      </c>
      <c r="J7" s="8" t="n">
        <v>5000</v>
      </c>
      <c r="K7" s="8" t="n">
        <v>10000</v>
      </c>
      <c r="L7" s="8" t="n">
        <v>10000</v>
      </c>
      <c r="M7" s="8" t="n">
        <v>10000</v>
      </c>
      <c r="N7" s="8" t="n">
        <v>10000</v>
      </c>
      <c r="O7" s="8" t="n">
        <v>8000</v>
      </c>
      <c r="P7" s="8" t="n">
        <v>7000</v>
      </c>
      <c r="Q7" s="8" t="n">
        <v>5000</v>
      </c>
      <c r="R7" s="8" t="n">
        <v>5000</v>
      </c>
      <c r="S7" s="8" t="n">
        <v>5000</v>
      </c>
      <c r="T7" s="9" t="n">
        <v>75000</v>
      </c>
      <c r="U7" s="10" t="inlineStr">
        <is>
          <t>Roster/NIL contracting — spring portal into S1</t>
        </is>
      </c>
    </row>
    <row r="8">
      <c r="A8" t="inlineStr">
        <is>
          <t xml:space="preserve">   Celebrity + school contracting</t>
        </is>
      </c>
      <c r="F8" s="8" t="n">
        <v>4000</v>
      </c>
      <c r="G8" s="8" t="n">
        <v>4000</v>
      </c>
      <c r="I8" s="8" t="n">
        <v>4000</v>
      </c>
      <c r="K8" s="8" t="n">
        <v>5000</v>
      </c>
      <c r="M8" s="8" t="n">
        <v>4000</v>
      </c>
      <c r="P8" s="8" t="n">
        <v>4000</v>
      </c>
      <c r="T8" s="9" t="n">
        <v>25000</v>
      </c>
      <c r="U8" s="10" t="inlineStr">
        <is>
          <t>As LOIs/contracts land</t>
        </is>
      </c>
    </row>
    <row r="9">
      <c r="A9" t="inlineStr">
        <is>
          <t xml:space="preserve">   Corporate / securities / SPV framework</t>
        </is>
      </c>
      <c r="C9" s="8" t="n">
        <v>8000</v>
      </c>
      <c r="D9" s="8" t="n">
        <v>7000</v>
      </c>
      <c r="E9" s="8" t="n">
        <v>5000</v>
      </c>
      <c r="H9" s="8" t="n">
        <v>5000</v>
      </c>
      <c r="T9" s="9" t="n">
        <v>25000</v>
      </c>
      <c r="U9" s="10" t="inlineStr">
        <is>
          <t>Front-loaded — needed to raise SPV</t>
        </is>
      </c>
    </row>
    <row r="10">
      <c r="A10" t="inlineStr">
        <is>
          <t xml:space="preserve">   IP protection &amp; filing</t>
        </is>
      </c>
      <c r="C10" s="8" t="n">
        <v>8000</v>
      </c>
      <c r="D10" s="8" t="n">
        <v>4000</v>
      </c>
      <c r="F10" s="8" t="n">
        <v>3000</v>
      </c>
      <c r="T10" s="9" t="n">
        <v>15000</v>
      </c>
      <c r="U10" s="10" t="inlineStr">
        <is>
          <t>Trademark filings early</t>
        </is>
      </c>
    </row>
    <row r="11">
      <c r="A11" s="11" t="inlineStr">
        <is>
          <t xml:space="preserve">   Subtotal — LEGAL</t>
        </is>
      </c>
      <c r="B11" s="12">
        <f>SUM(B6:B10)</f>
        <v/>
      </c>
      <c r="C11" s="12">
        <f>SUM(C6:C10)</f>
        <v/>
      </c>
      <c r="D11" s="12">
        <f>SUM(D6:D10)</f>
        <v/>
      </c>
      <c r="E11" s="12">
        <f>SUM(E6:E10)</f>
        <v/>
      </c>
      <c r="F11" s="12">
        <f>SUM(F6:F10)</f>
        <v/>
      </c>
      <c r="G11" s="12">
        <f>SUM(G6:G10)</f>
        <v/>
      </c>
      <c r="H11" s="12">
        <f>SUM(H6:H10)</f>
        <v/>
      </c>
      <c r="I11" s="12">
        <f>SUM(I6:I10)</f>
        <v/>
      </c>
      <c r="J11" s="12">
        <f>SUM(J6:J10)</f>
        <v/>
      </c>
      <c r="K11" s="12">
        <f>SUM(K6:K10)</f>
        <v/>
      </c>
      <c r="L11" s="12">
        <f>SUM(L6:L10)</f>
        <v/>
      </c>
      <c r="M11" s="12">
        <f>SUM(M6:M10)</f>
        <v/>
      </c>
      <c r="N11" s="12">
        <f>SUM(N6:N10)</f>
        <v/>
      </c>
      <c r="O11" s="12">
        <f>SUM(O6:O10)</f>
        <v/>
      </c>
      <c r="P11" s="12">
        <f>SUM(P6:P10)</f>
        <v/>
      </c>
      <c r="Q11" s="12">
        <f>SUM(Q6:Q10)</f>
        <v/>
      </c>
      <c r="R11" s="12">
        <f>SUM(R6:R10)</f>
        <v/>
      </c>
      <c r="S11" s="12">
        <f>SUM(S6:S10)</f>
        <v/>
      </c>
      <c r="T11" s="12">
        <f>SUM(T6:T10)</f>
        <v/>
      </c>
      <c r="U11" s="13" t="n"/>
    </row>
    <row r="12">
      <c r="A12" s="6" t="inlineStr">
        <is>
          <t>PEOPLE &amp; TEAM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</row>
    <row r="13">
      <c r="A13" t="inlineStr">
        <is>
          <t xml:space="preserve">   Founder salary (17 mo)</t>
        </is>
      </c>
      <c r="C13" s="8" t="n">
        <v>13236</v>
      </c>
      <c r="D13" s="8" t="n">
        <v>13236</v>
      </c>
      <c r="E13" s="8" t="n">
        <v>13236</v>
      </c>
      <c r="F13" s="8" t="n">
        <v>13236</v>
      </c>
      <c r="G13" s="8" t="n">
        <v>13236</v>
      </c>
      <c r="H13" s="8" t="n">
        <v>13235</v>
      </c>
      <c r="I13" s="8" t="n">
        <v>13235</v>
      </c>
      <c r="J13" s="8" t="n">
        <v>13235</v>
      </c>
      <c r="K13" s="8" t="n">
        <v>13235</v>
      </c>
      <c r="L13" s="8" t="n">
        <v>13235</v>
      </c>
      <c r="M13" s="8" t="n">
        <v>13235</v>
      </c>
      <c r="N13" s="8" t="n">
        <v>13235</v>
      </c>
      <c r="O13" s="8" t="n">
        <v>13235</v>
      </c>
      <c r="P13" s="8" t="n">
        <v>13235</v>
      </c>
      <c r="Q13" s="8" t="n">
        <v>13235</v>
      </c>
      <c r="R13" s="8" t="n">
        <v>13235</v>
      </c>
      <c r="S13" s="8" t="n">
        <v>13235</v>
      </c>
      <c r="T13" s="9" t="n">
        <v>225000</v>
      </c>
      <c r="U13" s="10" t="inlineStr">
        <is>
          <t>Aug-26 -&gt; Dec-27, level</t>
        </is>
      </c>
    </row>
    <row r="14">
      <c r="A14" t="inlineStr">
        <is>
          <t xml:space="preserve">   Founder salary (2026 deferred)</t>
        </is>
      </c>
      <c r="Q14" s="8" t="n">
        <v>33000</v>
      </c>
      <c r="R14" s="8" t="n">
        <v>33000</v>
      </c>
      <c r="S14" s="8" t="n">
        <v>34000</v>
      </c>
      <c r="T14" s="9" t="n">
        <v>100000</v>
      </c>
      <c r="U14" s="10" t="inlineStr">
        <is>
          <t>Deferred comp, paid as SPV close nears</t>
        </is>
      </c>
    </row>
    <row r="15">
      <c r="A15" t="inlineStr">
        <is>
          <t xml:space="preserve">   Basketball ops hires (lean/partial-yr)</t>
        </is>
      </c>
      <c r="D15" s="8" t="n">
        <v>8000</v>
      </c>
      <c r="E15" s="8" t="n">
        <v>8000</v>
      </c>
      <c r="F15" s="8" t="n">
        <v>10000</v>
      </c>
      <c r="G15" s="8" t="n">
        <v>10000</v>
      </c>
      <c r="H15" s="8" t="n">
        <v>10000</v>
      </c>
      <c r="I15" s="8" t="n">
        <v>10000</v>
      </c>
      <c r="J15" s="8" t="n">
        <v>12000</v>
      </c>
      <c r="K15" s="8" t="n">
        <v>14000</v>
      </c>
      <c r="L15" s="8" t="n">
        <v>12000</v>
      </c>
      <c r="M15" s="8" t="n">
        <v>10000</v>
      </c>
      <c r="N15" s="8" t="n">
        <v>12000</v>
      </c>
      <c r="O15" s="8" t="n">
        <v>12000</v>
      </c>
      <c r="P15" s="8" t="n">
        <v>11000</v>
      </c>
      <c r="Q15" s="8" t="n">
        <v>11000</v>
      </c>
      <c r="R15" s="8" t="n">
        <v>12500</v>
      </c>
      <c r="S15" s="8" t="n">
        <v>12500</v>
      </c>
      <c r="T15" s="9" t="n">
        <v>175000</v>
      </c>
      <c r="U15" s="10" t="inlineStr">
        <is>
          <t>Ramps into season / portal windows</t>
        </is>
      </c>
    </row>
    <row r="16">
      <c r="A16" t="inlineStr">
        <is>
          <t xml:space="preserve">   Sales / partnerships (commission)</t>
        </is>
      </c>
      <c r="J16" s="8" t="n">
        <v>8000</v>
      </c>
      <c r="M16" s="8" t="n">
        <v>12000</v>
      </c>
      <c r="O16" s="8" t="n">
        <v>15000</v>
      </c>
      <c r="P16" s="8" t="n">
        <v>20000</v>
      </c>
      <c r="Q16" s="8" t="n">
        <v>15000</v>
      </c>
      <c r="R16" s="8" t="n">
        <v>15000</v>
      </c>
      <c r="S16" s="8" t="n">
        <v>15000</v>
      </c>
      <c r="T16" s="9" t="n">
        <v>100000</v>
      </c>
      <c r="U16" s="10" t="inlineStr">
        <is>
          <t>SUNJAY — paid on sponsor closes</t>
        </is>
      </c>
    </row>
    <row r="17">
      <c r="A17" s="11" t="inlineStr">
        <is>
          <t xml:space="preserve">   Subtotal — PEOPLE &amp; TEAM</t>
        </is>
      </c>
      <c r="B17" s="12">
        <f>SUM(B13:B16)</f>
        <v/>
      </c>
      <c r="C17" s="12">
        <f>SUM(C13:C16)</f>
        <v/>
      </c>
      <c r="D17" s="12">
        <f>SUM(D13:D16)</f>
        <v/>
      </c>
      <c r="E17" s="12">
        <f>SUM(E13:E16)</f>
        <v/>
      </c>
      <c r="F17" s="12">
        <f>SUM(F13:F16)</f>
        <v/>
      </c>
      <c r="G17" s="12">
        <f>SUM(G13:G16)</f>
        <v/>
      </c>
      <c r="H17" s="12">
        <f>SUM(H13:H16)</f>
        <v/>
      </c>
      <c r="I17" s="12">
        <f>SUM(I13:I16)</f>
        <v/>
      </c>
      <c r="J17" s="12">
        <f>SUM(J13:J16)</f>
        <v/>
      </c>
      <c r="K17" s="12">
        <f>SUM(K13:K16)</f>
        <v/>
      </c>
      <c r="L17" s="12">
        <f>SUM(L13:L16)</f>
        <v/>
      </c>
      <c r="M17" s="12">
        <f>SUM(M13:M16)</f>
        <v/>
      </c>
      <c r="N17" s="12">
        <f>SUM(N13:N16)</f>
        <v/>
      </c>
      <c r="O17" s="12">
        <f>SUM(O13:O16)</f>
        <v/>
      </c>
      <c r="P17" s="12">
        <f>SUM(P13:P16)</f>
        <v/>
      </c>
      <c r="Q17" s="12">
        <f>SUM(Q13:Q16)</f>
        <v/>
      </c>
      <c r="R17" s="12">
        <f>SUM(R13:R16)</f>
        <v/>
      </c>
      <c r="S17" s="12">
        <f>SUM(S13:S16)</f>
        <v/>
      </c>
      <c r="T17" s="12">
        <f>SUM(T13:T16)</f>
        <v/>
      </c>
      <c r="U17" s="13" t="n"/>
    </row>
    <row r="18">
      <c r="A18" s="6" t="inlineStr">
        <is>
          <t>TRAVEL &amp; FIELD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</row>
    <row r="19">
      <c r="A19" t="inlineStr">
        <is>
          <t xml:space="preserve">   Basketball ops &amp; scouting</t>
        </is>
      </c>
      <c r="B19" s="8" t="n">
        <v>12000</v>
      </c>
      <c r="C19" s="8" t="n">
        <v>10000</v>
      </c>
      <c r="D19" s="8" t="n">
        <v>3000</v>
      </c>
      <c r="E19" s="8" t="n">
        <v>3000</v>
      </c>
      <c r="F19" s="8" t="n">
        <v>9000</v>
      </c>
      <c r="G19" s="8" t="n">
        <v>7000</v>
      </c>
      <c r="J19" s="8" t="n">
        <v>8000</v>
      </c>
      <c r="K19" s="8" t="n">
        <v>10000</v>
      </c>
      <c r="M19" s="8" t="n">
        <v>3000</v>
      </c>
      <c r="N19" s="8" t="n">
        <v>10000</v>
      </c>
      <c r="O19" s="8" t="n">
        <v>8000</v>
      </c>
      <c r="R19" s="8" t="n">
        <v>9000</v>
      </c>
      <c r="S19" s="8" t="n">
        <v>8000</v>
      </c>
      <c r="T19" s="9" t="n">
        <v>100000</v>
      </c>
      <c r="U19" s="10" t="inlineStr">
        <is>
          <t>Jul/Aug live · Nov/Dec MTEs · Mar tourney · Apr portal</t>
        </is>
      </c>
    </row>
    <row r="20">
      <c r="A20" t="inlineStr">
        <is>
          <t xml:space="preserve">   Sponsor / streaming / production BD</t>
        </is>
      </c>
      <c r="E20" s="8" t="n">
        <v>5000</v>
      </c>
      <c r="H20" s="8" t="n">
        <v>6000</v>
      </c>
      <c r="J20" s="8" t="n">
        <v>8000</v>
      </c>
      <c r="M20" s="8" t="n">
        <v>7000</v>
      </c>
      <c r="N20" s="8" t="n">
        <v>5000</v>
      </c>
      <c r="P20" s="8" t="n">
        <v>7000</v>
      </c>
      <c r="Q20" s="8" t="n">
        <v>6000</v>
      </c>
      <c r="R20" s="8" t="n">
        <v>6000</v>
      </c>
      <c r="T20" s="9" t="n">
        <v>50000</v>
      </c>
      <c r="U20" s="10" t="inlineStr">
        <is>
          <t>SUNJAY — NYC/LA; peaks at March Madness</t>
        </is>
      </c>
    </row>
    <row r="21">
      <c r="A21" t="inlineStr">
        <is>
          <t xml:space="preserve">   Celebrity procurement</t>
        </is>
      </c>
      <c r="D21" s="8" t="n">
        <v>6000</v>
      </c>
      <c r="E21" s="8" t="n">
        <v>7000</v>
      </c>
      <c r="F21" s="8" t="n">
        <v>6000</v>
      </c>
      <c r="J21" s="8" t="n">
        <v>8000</v>
      </c>
      <c r="K21" s="8" t="n">
        <v>6000</v>
      </c>
      <c r="M21" s="8" t="n">
        <v>5000</v>
      </c>
      <c r="P21" s="8" t="n">
        <v>6000</v>
      </c>
      <c r="R21" s="8" t="n">
        <v>6000</v>
      </c>
      <c r="T21" s="9" t="n">
        <v>50000</v>
      </c>
      <c r="U21" s="10" t="inlineStr">
        <is>
          <t>LA/Bay Area; visibility windows</t>
        </is>
      </c>
    </row>
    <row r="22">
      <c r="A22" t="inlineStr">
        <is>
          <t xml:space="preserve">   School procurement</t>
        </is>
      </c>
      <c r="D22" s="8" t="n">
        <v>8000</v>
      </c>
      <c r="E22" s="8" t="n">
        <v>8000</v>
      </c>
      <c r="F22" s="8" t="n">
        <v>7000</v>
      </c>
      <c r="G22" s="8" t="n">
        <v>4000</v>
      </c>
      <c r="K22" s="8" t="n">
        <v>5000</v>
      </c>
      <c r="L22" s="8" t="n">
        <v>5000</v>
      </c>
      <c r="O22" s="8" t="n">
        <v>5000</v>
      </c>
      <c r="Q22" s="8" t="n">
        <v>8000</v>
      </c>
      <c r="T22" s="9" t="n">
        <v>50000</v>
      </c>
      <c r="U22" s="10" t="inlineStr">
        <is>
          <t>AD/president visits — lock anchor</t>
        </is>
      </c>
    </row>
    <row r="23">
      <c r="A23" s="11" t="inlineStr">
        <is>
          <t xml:space="preserve">   Subtotal — TRAVEL &amp; FIELD</t>
        </is>
      </c>
      <c r="B23" s="12">
        <f>SUM(B19:B22)</f>
        <v/>
      </c>
      <c r="C23" s="12">
        <f>SUM(C19:C22)</f>
        <v/>
      </c>
      <c r="D23" s="12">
        <f>SUM(D19:D22)</f>
        <v/>
      </c>
      <c r="E23" s="12">
        <f>SUM(E19:E22)</f>
        <v/>
      </c>
      <c r="F23" s="12">
        <f>SUM(F19:F22)</f>
        <v/>
      </c>
      <c r="G23" s="12">
        <f>SUM(G19:G22)</f>
        <v/>
      </c>
      <c r="H23" s="12">
        <f>SUM(H19:H22)</f>
        <v/>
      </c>
      <c r="I23" s="12">
        <f>SUM(I19:I22)</f>
        <v/>
      </c>
      <c r="J23" s="12">
        <f>SUM(J19:J22)</f>
        <v/>
      </c>
      <c r="K23" s="12">
        <f>SUM(K19:K22)</f>
        <v/>
      </c>
      <c r="L23" s="12">
        <f>SUM(L19:L22)</f>
        <v/>
      </c>
      <c r="M23" s="12">
        <f>SUM(M19:M22)</f>
        <v/>
      </c>
      <c r="N23" s="12">
        <f>SUM(N19:N22)</f>
        <v/>
      </c>
      <c r="O23" s="12">
        <f>SUM(O19:O22)</f>
        <v/>
      </c>
      <c r="P23" s="12">
        <f>SUM(P19:P22)</f>
        <v/>
      </c>
      <c r="Q23" s="12">
        <f>SUM(Q19:Q22)</f>
        <v/>
      </c>
      <c r="R23" s="12">
        <f>SUM(R19:R22)</f>
        <v/>
      </c>
      <c r="S23" s="12">
        <f>SUM(S19:S22)</f>
        <v/>
      </c>
      <c r="T23" s="12">
        <f>SUM(T19:T22)</f>
        <v/>
      </c>
      <c r="U23" s="13" t="n"/>
    </row>
    <row r="24">
      <c r="A24" s="6" t="inlineStr">
        <is>
          <t>CELEBRITY ACCESS FEES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</row>
    <row r="25">
      <c r="A25" t="inlineStr">
        <is>
          <t xml:space="preserve">   Celebrity access / attachment fees</t>
        </is>
      </c>
      <c r="D25" s="8" t="n">
        <v>20000</v>
      </c>
      <c r="E25" s="8" t="n">
        <v>20000</v>
      </c>
      <c r="F25" s="8" t="n">
        <v>15000</v>
      </c>
      <c r="G25" s="8" t="n">
        <v>15000</v>
      </c>
      <c r="I25" s="8" t="n">
        <v>15000</v>
      </c>
      <c r="J25" s="8" t="n">
        <v>20000</v>
      </c>
      <c r="K25" s="8" t="n">
        <v>15000</v>
      </c>
      <c r="M25" s="8" t="n">
        <v>15000</v>
      </c>
      <c r="P25" s="8" t="n">
        <v>15000</v>
      </c>
      <c r="T25" s="9" t="n">
        <v>150000</v>
      </c>
      <c r="U25" s="10" t="inlineStr">
        <is>
          <t>As intros/attachments land; anchor first</t>
        </is>
      </c>
    </row>
    <row r="26">
      <c r="A26" s="11" t="inlineStr">
        <is>
          <t xml:space="preserve">   Subtotal — CELEBRITY ACCESS FEES</t>
        </is>
      </c>
      <c r="B26" s="12">
        <f>SUM(B25:B25)</f>
        <v/>
      </c>
      <c r="C26" s="12">
        <f>SUM(C25:C25)</f>
        <v/>
      </c>
      <c r="D26" s="12">
        <f>SUM(D25:D25)</f>
        <v/>
      </c>
      <c r="E26" s="12">
        <f>SUM(E25:E25)</f>
        <v/>
      </c>
      <c r="F26" s="12">
        <f>SUM(F25:F25)</f>
        <v/>
      </c>
      <c r="G26" s="12">
        <f>SUM(G25:G25)</f>
        <v/>
      </c>
      <c r="H26" s="12">
        <f>SUM(H25:H25)</f>
        <v/>
      </c>
      <c r="I26" s="12">
        <f>SUM(I25:I25)</f>
        <v/>
      </c>
      <c r="J26" s="12">
        <f>SUM(J25:J25)</f>
        <v/>
      </c>
      <c r="K26" s="12">
        <f>SUM(K25:K25)</f>
        <v/>
      </c>
      <c r="L26" s="12">
        <f>SUM(L25:L25)</f>
        <v/>
      </c>
      <c r="M26" s="12">
        <f>SUM(M25:M25)</f>
        <v/>
      </c>
      <c r="N26" s="12">
        <f>SUM(N25:N25)</f>
        <v/>
      </c>
      <c r="O26" s="12">
        <f>SUM(O25:O25)</f>
        <v/>
      </c>
      <c r="P26" s="12">
        <f>SUM(P25:P25)</f>
        <v/>
      </c>
      <c r="Q26" s="12">
        <f>SUM(Q25:Q25)</f>
        <v/>
      </c>
      <c r="R26" s="12">
        <f>SUM(R25:R25)</f>
        <v/>
      </c>
      <c r="S26" s="12">
        <f>SUM(S25:S25)</f>
        <v/>
      </c>
      <c r="T26" s="12">
        <f>SUM(T25:T25)</f>
        <v/>
      </c>
      <c r="U26" s="13" t="n"/>
    </row>
    <row r="27">
      <c r="A27" s="6" t="inlineStr">
        <is>
          <t>BRANDING / TEASER / CONTENT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>
      <c r="A28" t="inlineStr">
        <is>
          <t xml:space="preserve">   Brand identity + teaser reel</t>
        </is>
      </c>
      <c r="C28" s="8" t="n">
        <v>5000</v>
      </c>
      <c r="D28" s="8" t="n">
        <v>5000</v>
      </c>
      <c r="E28" s="8" t="n">
        <v>3000</v>
      </c>
      <c r="F28" s="8" t="n">
        <v>2000</v>
      </c>
      <c r="T28" s="9" t="n">
        <v>15000</v>
      </c>
      <c r="U28" s="10" t="inlineStr">
        <is>
          <t>Early — asset to sell the vision</t>
        </is>
      </c>
    </row>
    <row r="29">
      <c r="A29" s="11" t="inlineStr">
        <is>
          <t xml:space="preserve">   Subtotal — BRANDING / TEASER / CONTENT</t>
        </is>
      </c>
      <c r="B29" s="12">
        <f>SUM(B28:B28)</f>
        <v/>
      </c>
      <c r="C29" s="12">
        <f>SUM(C28:C28)</f>
        <v/>
      </c>
      <c r="D29" s="12">
        <f>SUM(D28:D28)</f>
        <v/>
      </c>
      <c r="E29" s="12">
        <f>SUM(E28:E28)</f>
        <v/>
      </c>
      <c r="F29" s="12">
        <f>SUM(F28:F28)</f>
        <v/>
      </c>
      <c r="G29" s="12">
        <f>SUM(G28:G28)</f>
        <v/>
      </c>
      <c r="H29" s="12">
        <f>SUM(H28:H28)</f>
        <v/>
      </c>
      <c r="I29" s="12">
        <f>SUM(I28:I28)</f>
        <v/>
      </c>
      <c r="J29" s="12">
        <f>SUM(J28:J28)</f>
        <v/>
      </c>
      <c r="K29" s="12">
        <f>SUM(K28:K28)</f>
        <v/>
      </c>
      <c r="L29" s="12">
        <f>SUM(L28:L28)</f>
        <v/>
      </c>
      <c r="M29" s="12">
        <f>SUM(M28:M28)</f>
        <v/>
      </c>
      <c r="N29" s="12">
        <f>SUM(N28:N28)</f>
        <v/>
      </c>
      <c r="O29" s="12">
        <f>SUM(O28:O28)</f>
        <v/>
      </c>
      <c r="P29" s="12">
        <f>SUM(P28:P28)</f>
        <v/>
      </c>
      <c r="Q29" s="12">
        <f>SUM(Q28:Q28)</f>
        <v/>
      </c>
      <c r="R29" s="12">
        <f>SUM(R28:R28)</f>
        <v/>
      </c>
      <c r="S29" s="12">
        <f>SUM(S28:S28)</f>
        <v/>
      </c>
      <c r="T29" s="12">
        <f>SUM(T28:T28)</f>
        <v/>
      </c>
      <c r="U29" s="13" t="n"/>
    </row>
    <row r="30">
      <c r="A30" s="6" t="inlineStr">
        <is>
          <t>G&amp;A / OVERHEAD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</row>
    <row r="31">
      <c r="A31" t="inlineStr">
        <is>
          <t xml:space="preserve">   G&amp;A / overhead</t>
        </is>
      </c>
      <c r="B31" s="8" t="n">
        <v>1389</v>
      </c>
      <c r="C31" s="8" t="n">
        <v>1389</v>
      </c>
      <c r="D31" s="8" t="n">
        <v>1389</v>
      </c>
      <c r="E31" s="8" t="n">
        <v>1389</v>
      </c>
      <c r="F31" s="8" t="n">
        <v>1389</v>
      </c>
      <c r="G31" s="8" t="n">
        <v>1389</v>
      </c>
      <c r="H31" s="8" t="n">
        <v>1389</v>
      </c>
      <c r="I31" s="8" t="n">
        <v>1389</v>
      </c>
      <c r="J31" s="8" t="n">
        <v>1389</v>
      </c>
      <c r="K31" s="8" t="n">
        <v>1389</v>
      </c>
      <c r="L31" s="8" t="n">
        <v>1389</v>
      </c>
      <c r="M31" s="8" t="n">
        <v>1389</v>
      </c>
      <c r="N31" s="8" t="n">
        <v>1389</v>
      </c>
      <c r="O31" s="8" t="n">
        <v>1389</v>
      </c>
      <c r="P31" s="8" t="n">
        <v>1389</v>
      </c>
      <c r="Q31" s="8" t="n">
        <v>1389</v>
      </c>
      <c r="R31" s="8" t="n">
        <v>1388</v>
      </c>
      <c r="S31" s="8" t="n">
        <v>1388</v>
      </c>
      <c r="T31" s="9" t="n">
        <v>25000</v>
      </c>
      <c r="U31" s="10" t="inlineStr">
        <is>
          <t>Level run-rate</t>
        </is>
      </c>
    </row>
    <row r="32">
      <c r="A32" s="11" t="inlineStr">
        <is>
          <t xml:space="preserve">   Subtotal — G&amp;A / OVERHEAD</t>
        </is>
      </c>
      <c r="B32" s="12">
        <f>SUM(B31:B31)</f>
        <v/>
      </c>
      <c r="C32" s="12">
        <f>SUM(C31:C31)</f>
        <v/>
      </c>
      <c r="D32" s="12">
        <f>SUM(D31:D31)</f>
        <v/>
      </c>
      <c r="E32" s="12">
        <f>SUM(E31:E31)</f>
        <v/>
      </c>
      <c r="F32" s="12">
        <f>SUM(F31:F31)</f>
        <v/>
      </c>
      <c r="G32" s="12">
        <f>SUM(G31:G31)</f>
        <v/>
      </c>
      <c r="H32" s="12">
        <f>SUM(H31:H31)</f>
        <v/>
      </c>
      <c r="I32" s="12">
        <f>SUM(I31:I31)</f>
        <v/>
      </c>
      <c r="J32" s="12">
        <f>SUM(J31:J31)</f>
        <v/>
      </c>
      <c r="K32" s="12">
        <f>SUM(K31:K31)</f>
        <v/>
      </c>
      <c r="L32" s="12">
        <f>SUM(L31:L31)</f>
        <v/>
      </c>
      <c r="M32" s="12">
        <f>SUM(M31:M31)</f>
        <v/>
      </c>
      <c r="N32" s="12">
        <f>SUM(N31:N31)</f>
        <v/>
      </c>
      <c r="O32" s="12">
        <f>SUM(O31:O31)</f>
        <v/>
      </c>
      <c r="P32" s="12">
        <f>SUM(P31:P31)</f>
        <v/>
      </c>
      <c r="Q32" s="12">
        <f>SUM(Q31:Q31)</f>
        <v/>
      </c>
      <c r="R32" s="12">
        <f>SUM(R31:R31)</f>
        <v/>
      </c>
      <c r="S32" s="12">
        <f>SUM(S31:S31)</f>
        <v/>
      </c>
      <c r="T32" s="12">
        <f>SUM(T31:T31)</f>
        <v/>
      </c>
      <c r="U32" s="13" t="n"/>
    </row>
    <row r="33">
      <c r="A33" s="6" t="inlineStr">
        <is>
          <t>INSURANCE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>
      <c r="A34" t="inlineStr">
        <is>
          <t xml:space="preserve">   D&amp;O / insurance</t>
        </is>
      </c>
      <c r="B34" s="8" t="n">
        <v>6000</v>
      </c>
      <c r="N34" s="8" t="n">
        <v>4000</v>
      </c>
      <c r="T34" s="9" t="n">
        <v>10000</v>
      </c>
      <c r="U34" s="10" t="inlineStr">
        <is>
          <t>D&amp;O at close; renewal mid-27</t>
        </is>
      </c>
    </row>
    <row r="35">
      <c r="A35" s="11" t="inlineStr">
        <is>
          <t xml:space="preserve">   Subtotal — INSURANCE</t>
        </is>
      </c>
      <c r="B35" s="12">
        <f>SUM(B34:B34)</f>
        <v/>
      </c>
      <c r="C35" s="12">
        <f>SUM(C34:C34)</f>
        <v/>
      </c>
      <c r="D35" s="12">
        <f>SUM(D34:D34)</f>
        <v/>
      </c>
      <c r="E35" s="12">
        <f>SUM(E34:E34)</f>
        <v/>
      </c>
      <c r="F35" s="12">
        <f>SUM(F34:F34)</f>
        <v/>
      </c>
      <c r="G35" s="12">
        <f>SUM(G34:G34)</f>
        <v/>
      </c>
      <c r="H35" s="12">
        <f>SUM(H34:H34)</f>
        <v/>
      </c>
      <c r="I35" s="12">
        <f>SUM(I34:I34)</f>
        <v/>
      </c>
      <c r="J35" s="12">
        <f>SUM(J34:J34)</f>
        <v/>
      </c>
      <c r="K35" s="12">
        <f>SUM(K34:K34)</f>
        <v/>
      </c>
      <c r="L35" s="12">
        <f>SUM(L34:L34)</f>
        <v/>
      </c>
      <c r="M35" s="12">
        <f>SUM(M34:M34)</f>
        <v/>
      </c>
      <c r="N35" s="12">
        <f>SUM(N34:N34)</f>
        <v/>
      </c>
      <c r="O35" s="12">
        <f>SUM(O34:O34)</f>
        <v/>
      </c>
      <c r="P35" s="12">
        <f>SUM(P34:P34)</f>
        <v/>
      </c>
      <c r="Q35" s="12">
        <f>SUM(Q34:Q34)</f>
        <v/>
      </c>
      <c r="R35" s="12">
        <f>SUM(R34:R34)</f>
        <v/>
      </c>
      <c r="S35" s="12">
        <f>SUM(S34:S34)</f>
        <v/>
      </c>
      <c r="T35" s="12">
        <f>SUM(T34:T34)</f>
        <v/>
      </c>
      <c r="U35" s="13" t="n"/>
    </row>
    <row r="36">
      <c r="A36" s="14" t="inlineStr">
        <is>
          <t>MONTHLY DEPLOYED</t>
        </is>
      </c>
      <c r="B36" s="15">
        <f>B6+B7+B8+B9+B10+B13+B14+B15+B16+B19+B20+B21+B22+B25+B28+B31+B34</f>
        <v/>
      </c>
      <c r="C36" s="15">
        <f>C6+C7+C8+C9+C10+C13+C14+C15+C16+C19+C20+C21+C22+C25+C28+C31+C34</f>
        <v/>
      </c>
      <c r="D36" s="15">
        <f>D6+D7+D8+D9+D10+D13+D14+D15+D16+D19+D20+D21+D22+D25+D28+D31+D34</f>
        <v/>
      </c>
      <c r="E36" s="15">
        <f>E6+E7+E8+E9+E10+E13+E14+E15+E16+E19+E20+E21+E22+E25+E28+E31+E34</f>
        <v/>
      </c>
      <c r="F36" s="15">
        <f>F6+F7+F8+F9+F10+F13+F14+F15+F16+F19+F20+F21+F22+F25+F28+F31+F34</f>
        <v/>
      </c>
      <c r="G36" s="15">
        <f>G6+G7+G8+G9+G10+G13+G14+G15+G16+G19+G20+G21+G22+G25+G28+G31+G34</f>
        <v/>
      </c>
      <c r="H36" s="15">
        <f>H6+H7+H8+H9+H10+H13+H14+H15+H16+H19+H20+H21+H22+H25+H28+H31+H34</f>
        <v/>
      </c>
      <c r="I36" s="15">
        <f>I6+I7+I8+I9+I10+I13+I14+I15+I16+I19+I20+I21+I22+I25+I28+I31+I34</f>
        <v/>
      </c>
      <c r="J36" s="15">
        <f>J6+J7+J8+J9+J10+J13+J14+J15+J16+J19+J20+J21+J22+J25+J28+J31+J34</f>
        <v/>
      </c>
      <c r="K36" s="15">
        <f>K6+K7+K8+K9+K10+K13+K14+K15+K16+K19+K20+K21+K22+K25+K28+K31+K34</f>
        <v/>
      </c>
      <c r="L36" s="15">
        <f>L6+L7+L8+L9+L10+L13+L14+L15+L16+L19+L20+L21+L22+L25+L28+L31+L34</f>
        <v/>
      </c>
      <c r="M36" s="15">
        <f>M6+M7+M8+M9+M10+M13+M14+M15+M16+M19+M20+M21+M22+M25+M28+M31+M34</f>
        <v/>
      </c>
      <c r="N36" s="15">
        <f>N6+N7+N8+N9+N10+N13+N14+N15+N16+N19+N20+N21+N22+N25+N28+N31+N34</f>
        <v/>
      </c>
      <c r="O36" s="15">
        <f>O6+O7+O8+O9+O10+O13+O14+O15+O16+O19+O20+O21+O22+O25+O28+O31+O34</f>
        <v/>
      </c>
      <c r="P36" s="15">
        <f>P6+P7+P8+P9+P10+P13+P14+P15+P16+P19+P20+P21+P22+P25+P28+P31+P34</f>
        <v/>
      </c>
      <c r="Q36" s="15">
        <f>Q6+Q7+Q8+Q9+Q10+Q13+Q14+Q15+Q16+Q19+Q20+Q21+Q22+Q25+Q28+Q31+Q34</f>
        <v/>
      </c>
      <c r="R36" s="15">
        <f>R6+R7+R8+R9+R10+R13+R14+R15+R16+R19+R20+R21+R22+R25+R28+R31+R34</f>
        <v/>
      </c>
      <c r="S36" s="15">
        <f>S6+S7+S8+S9+S10+S13+S14+S15+S16+S19+S20+S21+S22+S25+S28+S31+S34</f>
        <v/>
      </c>
      <c r="T36" s="15">
        <f>SUM(B36:S36)</f>
        <v/>
      </c>
      <c r="U36" s="16" t="n"/>
    </row>
    <row r="38">
      <c r="A38" s="17" t="inlineStr">
        <is>
          <t>◤ PARENT REVENUE (capital IN — drives the runway)</t>
        </is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</row>
    <row r="39">
      <c r="A39" t="inlineStr">
        <is>
          <t xml:space="preserve">   Franchise fee — one-time (10% × $15M SPV)</t>
        </is>
      </c>
      <c r="M39" s="8" t="n">
        <v>1500000</v>
      </c>
      <c r="T39" s="9" t="n">
        <v>1500000</v>
      </c>
      <c r="U39" s="10" t="inlineStr">
        <is>
          <t>At SPV close ~Jun-27; refills the seed</t>
        </is>
      </c>
    </row>
    <row r="40">
      <c r="A40" t="inlineStr">
        <is>
          <t xml:space="preserve">   SPV management fee (2%/yr × $15M)</t>
        </is>
      </c>
      <c r="N40" s="8" t="n">
        <v>25000</v>
      </c>
      <c r="O40" s="8" t="n">
        <v>25000</v>
      </c>
      <c r="P40" s="8" t="n">
        <v>25000</v>
      </c>
      <c r="Q40" s="8" t="n">
        <v>25000</v>
      </c>
      <c r="R40" s="8" t="n">
        <v>25000</v>
      </c>
      <c r="S40" s="8" t="n">
        <v>25000</v>
      </c>
      <c r="T40" s="9" t="n">
        <v>150000</v>
      </c>
      <c r="U40" s="10" t="inlineStr">
        <is>
          <t>$25K/mo from SPV close</t>
        </is>
      </c>
    </row>
    <row r="41">
      <c r="A41" s="17" t="inlineStr">
        <is>
          <t>MONTHLY PARENT REVENUE</t>
        </is>
      </c>
      <c r="B41" s="19">
        <f>B39+B40</f>
        <v/>
      </c>
      <c r="C41" s="19">
        <f>C39+C40</f>
        <v/>
      </c>
      <c r="D41" s="19">
        <f>D39+D40</f>
        <v/>
      </c>
      <c r="E41" s="19">
        <f>E39+E40</f>
        <v/>
      </c>
      <c r="F41" s="19">
        <f>F39+F40</f>
        <v/>
      </c>
      <c r="G41" s="19">
        <f>G39+G40</f>
        <v/>
      </c>
      <c r="H41" s="19">
        <f>H39+H40</f>
        <v/>
      </c>
      <c r="I41" s="19">
        <f>I39+I40</f>
        <v/>
      </c>
      <c r="J41" s="19">
        <f>J39+J40</f>
        <v/>
      </c>
      <c r="K41" s="19">
        <f>K39+K40</f>
        <v/>
      </c>
      <c r="L41" s="19">
        <f>L39+L40</f>
        <v/>
      </c>
      <c r="M41" s="19">
        <f>M39+M40</f>
        <v/>
      </c>
      <c r="N41" s="19">
        <f>N39+N40</f>
        <v/>
      </c>
      <c r="O41" s="19">
        <f>O39+O40</f>
        <v/>
      </c>
      <c r="P41" s="19">
        <f>P39+P40</f>
        <v/>
      </c>
      <c r="Q41" s="19">
        <f>Q39+Q40</f>
        <v/>
      </c>
      <c r="R41" s="19">
        <f>R39+R40</f>
        <v/>
      </c>
      <c r="S41" s="19">
        <f>S39+S40</f>
        <v/>
      </c>
      <c r="T41" s="19">
        <f>SUM(B41:S41)</f>
        <v/>
      </c>
      <c r="U41" s="18" t="n"/>
    </row>
    <row r="42">
      <c r="A42" s="20" t="inlineStr">
        <is>
          <t>NET MONTHLY (parent rev − deployed)</t>
        </is>
      </c>
      <c r="B42" s="21">
        <f>B41-B36</f>
        <v/>
      </c>
      <c r="C42" s="21">
        <f>C41-C36</f>
        <v/>
      </c>
      <c r="D42" s="21">
        <f>D41-D36</f>
        <v/>
      </c>
      <c r="E42" s="21">
        <f>E41-E36</f>
        <v/>
      </c>
      <c r="F42" s="21">
        <f>F41-F36</f>
        <v/>
      </c>
      <c r="G42" s="21">
        <f>G41-G36</f>
        <v/>
      </c>
      <c r="H42" s="21">
        <f>H41-H36</f>
        <v/>
      </c>
      <c r="I42" s="21">
        <f>I41-I36</f>
        <v/>
      </c>
      <c r="J42" s="21">
        <f>J41-J36</f>
        <v/>
      </c>
      <c r="K42" s="21">
        <f>K41-K36</f>
        <v/>
      </c>
      <c r="L42" s="21">
        <f>L41-L36</f>
        <v/>
      </c>
      <c r="M42" s="21">
        <f>M41-M36</f>
        <v/>
      </c>
      <c r="N42" s="21">
        <f>N41-N36</f>
        <v/>
      </c>
      <c r="O42" s="21">
        <f>O41-O36</f>
        <v/>
      </c>
      <c r="P42" s="21">
        <f>P41-P36</f>
        <v/>
      </c>
      <c r="Q42" s="21">
        <f>Q41-Q36</f>
        <v/>
      </c>
      <c r="R42" s="21">
        <f>R41-R36</f>
        <v/>
      </c>
      <c r="S42" s="21">
        <f>S41-S36</f>
        <v/>
      </c>
    </row>
    <row r="43">
      <c r="A43" s="22" t="inlineStr">
        <is>
          <t>CASH POSITION (open $1.5M seed)</t>
        </is>
      </c>
      <c r="B43" s="23">
        <f>1500000+B42</f>
        <v/>
      </c>
      <c r="C43" s="23">
        <f>B43+C42</f>
        <v/>
      </c>
      <c r="D43" s="23">
        <f>C43+D42</f>
        <v/>
      </c>
      <c r="E43" s="23">
        <f>D43+E42</f>
        <v/>
      </c>
      <c r="F43" s="23">
        <f>E43+F42</f>
        <v/>
      </c>
      <c r="G43" s="23">
        <f>F43+G42</f>
        <v/>
      </c>
      <c r="H43" s="23">
        <f>G43+H42</f>
        <v/>
      </c>
      <c r="I43" s="23">
        <f>H43+I42</f>
        <v/>
      </c>
      <c r="J43" s="23">
        <f>I43+J42</f>
        <v/>
      </c>
      <c r="K43" s="23">
        <f>J43+K42</f>
        <v/>
      </c>
      <c r="L43" s="23">
        <f>K43+L42</f>
        <v/>
      </c>
      <c r="M43" s="23">
        <f>L43+M42</f>
        <v/>
      </c>
      <c r="N43" s="23">
        <f>M43+N42</f>
        <v/>
      </c>
      <c r="O43" s="23">
        <f>N43+O42</f>
        <v/>
      </c>
      <c r="P43" s="23">
        <f>O43+P42</f>
        <v/>
      </c>
      <c r="Q43" s="23">
        <f>P43+Q42</f>
        <v/>
      </c>
      <c r="R43" s="23">
        <f>Q43+R42</f>
        <v/>
      </c>
      <c r="S43" s="23">
        <f>R43+S42</f>
        <v/>
      </c>
    </row>
    <row r="44">
      <c r="A44" s="10" t="inlineStr">
        <is>
          <t xml:space="preserve">   Reserve $300K sits inside the seed (held, not scheduled). Low point ≈ May-27, then the franchise fee refills the treasury.</t>
        </is>
      </c>
    </row>
    <row r="46">
      <c r="A46" s="24" t="inlineStr">
        <is>
          <t>◤ VENTURE OPERATING REVENUE (SPV-level; roster is Ankur-financed — informational, NOT in parent cash above)</t>
        </is>
      </c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</row>
    <row r="47">
      <c r="A47" t="inlineStr">
        <is>
          <t xml:space="preserve">   Sponsor — presenting + MC-originated (upfronts)</t>
        </is>
      </c>
      <c r="P47" s="8" t="n">
        <v>500000</v>
      </c>
      <c r="R47" s="8" t="n">
        <v>750000</v>
      </c>
      <c r="S47" s="8" t="n">
        <v>750000</v>
      </c>
      <c r="T47" s="9" t="n">
        <v>2000000</v>
      </c>
      <c r="U47" s="10" t="inlineStr">
        <is>
          <t>SUNJAY closes; partial upfront H2-27, rest 2028</t>
        </is>
      </c>
    </row>
    <row r="48">
      <c r="A48" t="inlineStr">
        <is>
          <t xml:space="preserve">   Streaming / series (6 hrs = 12×30min, two releases)</t>
        </is>
      </c>
      <c r="S48" s="8" t="n">
        <v>600000</v>
      </c>
      <c r="T48" s="9" t="n">
        <v>600000</v>
      </c>
      <c r="U48" s="10" t="inlineStr">
        <is>
          <t>Films during 27-28 season; advance late-27, bulk 2028</t>
        </is>
      </c>
    </row>
    <row r="49">
      <c r="A49" t="inlineStr">
        <is>
          <t xml:space="preserve">   Team revenue share (85%, partial Season 1)</t>
        </is>
      </c>
      <c r="R49" s="8" t="n">
        <v>300000</v>
      </c>
      <c r="S49" s="8" t="n">
        <v>400000</v>
      </c>
      <c r="T49" s="9" t="n">
        <v>700000</v>
      </c>
      <c r="U49" s="10" t="inlineStr">
        <is>
          <t>Nov-Dec 27 non-conf; full season 2028</t>
        </is>
      </c>
    </row>
    <row r="50">
      <c r="A50" s="26" t="inlineStr">
        <is>
          <t>MONTHLY OPERATING REVENUE (in-window)</t>
        </is>
      </c>
      <c r="B50" s="27">
        <f>B47+B48+B49</f>
        <v/>
      </c>
      <c r="C50" s="27">
        <f>C47+C48+C49</f>
        <v/>
      </c>
      <c r="D50" s="27">
        <f>D47+D48+D49</f>
        <v/>
      </c>
      <c r="E50" s="27">
        <f>E47+E48+E49</f>
        <v/>
      </c>
      <c r="F50" s="27">
        <f>F47+F48+F49</f>
        <v/>
      </c>
      <c r="G50" s="27">
        <f>G47+G48+G49</f>
        <v/>
      </c>
      <c r="H50" s="27">
        <f>H47+H48+H49</f>
        <v/>
      </c>
      <c r="I50" s="27">
        <f>I47+I48+I49</f>
        <v/>
      </c>
      <c r="J50" s="27">
        <f>J47+J48+J49</f>
        <v/>
      </c>
      <c r="K50" s="27">
        <f>K47+K48+K49</f>
        <v/>
      </c>
      <c r="L50" s="27">
        <f>L47+L48+L49</f>
        <v/>
      </c>
      <c r="M50" s="27">
        <f>M47+M48+M49</f>
        <v/>
      </c>
      <c r="N50" s="27">
        <f>N47+N48+N49</f>
        <v/>
      </c>
      <c r="O50" s="27">
        <f>O47+O48+O49</f>
        <v/>
      </c>
      <c r="P50" s="27">
        <f>P47+P48+P49</f>
        <v/>
      </c>
      <c r="Q50" s="27">
        <f>Q47+Q48+Q49</f>
        <v/>
      </c>
      <c r="R50" s="27">
        <f>R47+R48+R49</f>
        <v/>
      </c>
      <c r="S50" s="27">
        <f>S47+S48+S49</f>
        <v/>
      </c>
      <c r="T50" s="27">
        <f>SUM(B50:S50)</f>
        <v/>
      </c>
    </row>
    <row r="52">
      <c r="A52" s="28" t="inlineStr">
        <is>
          <t>ASSUMPTIONS &amp; BASKETBALL-CALENDAR LOGIC</t>
        </is>
      </c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</row>
    <row r="53">
      <c r="A53" s="30" t="inlineStr">
        <is>
          <t>SPENDING timing keyed to the calendar: Jul–Aug live periods (Peach Jam/AAU) = peak scouting/agent networking; Nov–Dec non-conf MTEs (Feast Week, Diamond Head) = networking + transfer eval; Mar = March Madness visibility; Apr = transfer portal / roster build.</t>
        </is>
      </c>
    </row>
    <row r="54">
      <c r="A54" s="30" t="inlineStr">
        <is>
          <t>PARENT REVENUE: franchise fee (one-time 10% × $15M SPV) at SPV close ~Jun-27 refills the seed; 2% mgmt fee begins thereafter. This is the clean parent runway — never runs dry.</t>
        </is>
      </c>
    </row>
    <row r="55">
      <c r="A55" s="30" t="inlineStr">
        <is>
          <t>VENTURE OPERATING REVENUE (sponsor / streaming / 85% team share) is SPV-level and shown separately because the roster it offsets is the SPV's Ankur-financed cost. Parent's 40% of SPV net distributions flows mostly in 2028.</t>
        </is>
      </c>
    </row>
    <row r="56">
      <c r="A56" s="30" t="inlineStr">
        <is>
          <t>TIMING MISMATCH: NIL/roster payments come due Apr–Jun 2027; sponsor/streaming cash lands H2-27 and into 2028. Ankur bridges this gap (credit facility / bridge) — by design, not a gap in the plan.</t>
        </is>
      </c>
    </row>
    <row r="57">
      <c r="A57" s="30" t="inlineStr">
        <is>
          <t>Show = 6 hours (12×30-min episodes) in two releases; $1M/hr sold, $0.6M/hr cost ⇒ ~$2.4M net, largely realized 2028. One SPV / one team assumed. Revenue = PROJECTED; adjust freely.</t>
        </is>
      </c>
    </row>
  </sheetData>
  <mergeCells count="7">
    <mergeCell ref="A53:U53"/>
    <mergeCell ref="A55:U55"/>
    <mergeCell ref="A54:U54"/>
    <mergeCell ref="A52:U52"/>
    <mergeCell ref="A57:U57"/>
    <mergeCell ref="A1:U1"/>
    <mergeCell ref="A56:U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31" t="inlineStr">
        <is>
          <t>Cinderella Corp — Returns &amp; Waterfall (one SPV, base case)  ·  seed 50%→1x, 15%→2x, then 15% pro-rata (GROSS revenue)</t>
        </is>
      </c>
    </row>
    <row r="3">
      <c r="A3" s="30" t="inlineStr">
        <is>
          <t>Base team revenue (gross / season)</t>
        </is>
      </c>
      <c r="B3" s="32" t="n">
        <v>14000000</v>
      </c>
    </row>
    <row r="4">
      <c r="A4" s="30" t="inlineStr">
        <is>
          <t>SPV team-revenue share</t>
        </is>
      </c>
      <c r="B4" s="33" t="inlineStr">
        <is>
          <t>85%</t>
        </is>
      </c>
    </row>
    <row r="5">
      <c r="A5" s="30" t="inlineStr">
        <is>
          <t>SPV profit (breaks even before team rev)</t>
        </is>
      </c>
      <c r="B5" s="32" t="n">
        <v>11900000</v>
      </c>
    </row>
    <row r="6">
      <c r="A6" s="30" t="inlineStr">
        <is>
          <t>Parent ownership of SPV</t>
        </is>
      </c>
      <c r="B6" s="33" t="inlineStr">
        <is>
          <t>40%</t>
        </is>
      </c>
    </row>
    <row r="7">
      <c r="A7" s="30" t="inlineStr">
        <is>
          <t>→ Parent SPV distribution / yr (40%×85%×14M)</t>
        </is>
      </c>
      <c r="B7" s="32" t="n">
        <v>4760000</v>
      </c>
    </row>
    <row r="8">
      <c r="A8" s="30" t="inlineStr">
        <is>
          <t>Franchise fee (one-time, 2027)</t>
        </is>
      </c>
      <c r="B8" s="32" t="n">
        <v>1500000</v>
      </c>
    </row>
    <row r="9">
      <c r="A9" s="30" t="inlineStr">
        <is>
          <t>Mgmt fee /yr (2%×$15M)</t>
        </is>
      </c>
      <c r="B9" s="32" t="n">
        <v>300000</v>
      </c>
    </row>
    <row r="10">
      <c r="A10" s="30" t="inlineStr">
        <is>
          <t>Seed investment / 1x</t>
        </is>
      </c>
      <c r="B10" s="32" t="n">
        <v>1500000</v>
      </c>
    </row>
    <row r="12">
      <c r="A12" s="2" t="inlineStr">
        <is>
          <t>($)</t>
        </is>
      </c>
      <c r="B12" s="3" t="n">
        <v>2027</v>
      </c>
      <c r="C12" s="3" t="n">
        <v>2028</v>
      </c>
      <c r="D12" s="3" t="n">
        <v>2029</v>
      </c>
      <c r="E12" s="3" t="n">
        <v>2030</v>
      </c>
      <c r="F12" s="3" t="n">
        <v>2031</v>
      </c>
      <c r="G12" s="3" t="n">
        <v>2032</v>
      </c>
      <c r="H12" s="3" t="inlineStr">
        <is>
          <t>TOTAL</t>
        </is>
      </c>
    </row>
    <row r="13">
      <c r="A13" s="17" t="inlineStr">
        <is>
          <t>PARENT GROSS REVENUE</t>
        </is>
      </c>
      <c r="B13" s="18" t="n"/>
      <c r="C13" s="18" t="n"/>
      <c r="D13" s="18" t="n"/>
      <c r="E13" s="18" t="n"/>
      <c r="F13" s="18" t="n"/>
      <c r="G13" s="18" t="n"/>
      <c r="H13" s="18" t="n"/>
    </row>
    <row r="14">
      <c r="A14" s="34" t="inlineStr">
        <is>
          <t xml:space="preserve">  Franchise fee (one-time)</t>
        </is>
      </c>
      <c r="B14" s="35" t="n">
        <v>1500000</v>
      </c>
      <c r="C14" s="35" t="n">
        <v>0</v>
      </c>
      <c r="D14" s="35" t="n">
        <v>0</v>
      </c>
      <c r="E14" s="35" t="n">
        <v>0</v>
      </c>
      <c r="F14" s="35" t="n">
        <v>0</v>
      </c>
      <c r="G14" s="35" t="n">
        <v>0</v>
      </c>
      <c r="H14" s="36" t="n">
        <v>1500000</v>
      </c>
    </row>
    <row r="15">
      <c r="A15" s="34" t="inlineStr">
        <is>
          <t xml:space="preserve">  Management fee (2%)</t>
        </is>
      </c>
      <c r="B15" s="35" t="n">
        <v>150000</v>
      </c>
      <c r="C15" s="35" t="n">
        <v>300000</v>
      </c>
      <c r="D15" s="35" t="n">
        <v>300000</v>
      </c>
      <c r="E15" s="35" t="n">
        <v>300000</v>
      </c>
      <c r="F15" s="35" t="n">
        <v>300000</v>
      </c>
      <c r="G15" s="35" t="n">
        <v>300000</v>
      </c>
      <c r="H15" s="36" t="n">
        <v>1650000</v>
      </c>
    </row>
    <row r="16">
      <c r="A16" s="34" t="inlineStr">
        <is>
          <t xml:space="preserve">  SPV distribution (40% of profit)</t>
        </is>
      </c>
      <c r="B16" s="35" t="n">
        <v>0</v>
      </c>
      <c r="C16" s="35" t="n">
        <v>4760000</v>
      </c>
      <c r="D16" s="35" t="n">
        <v>4760000</v>
      </c>
      <c r="E16" s="35" t="n">
        <v>4760000</v>
      </c>
      <c r="F16" s="35" t="n">
        <v>4760000</v>
      </c>
      <c r="G16" s="35" t="n">
        <v>4760000</v>
      </c>
      <c r="H16" s="36" t="n">
        <v>23800000</v>
      </c>
    </row>
    <row r="17">
      <c r="A17" s="37" t="inlineStr">
        <is>
          <t xml:space="preserve">  TOTAL parent gross revenue</t>
        </is>
      </c>
      <c r="B17" s="38" t="n">
        <v>1650000</v>
      </c>
      <c r="C17" s="38" t="n">
        <v>5060000</v>
      </c>
      <c r="D17" s="38" t="n">
        <v>5060000</v>
      </c>
      <c r="E17" s="38" t="n">
        <v>5060000</v>
      </c>
      <c r="F17" s="38" t="n">
        <v>5060000</v>
      </c>
      <c r="G17" s="38" t="n">
        <v>5060000</v>
      </c>
      <c r="H17" s="38" t="n">
        <v>26950000</v>
      </c>
    </row>
    <row r="18">
      <c r="A18" s="39" t="inlineStr">
        <is>
          <t>WATERFALL — to seed investors</t>
        </is>
      </c>
      <c r="B18" s="40" t="n"/>
      <c r="C18" s="40" t="n"/>
      <c r="D18" s="40" t="n"/>
      <c r="E18" s="40" t="n"/>
      <c r="F18" s="40" t="n"/>
      <c r="G18" s="40" t="n"/>
      <c r="H18" s="40" t="n"/>
    </row>
    <row r="19">
      <c r="A19" s="41" t="inlineStr">
        <is>
          <t xml:space="preserve">  To SEED investors (50/15/pro-rata)</t>
        </is>
      </c>
      <c r="B19" s="42" t="n">
        <v>825000</v>
      </c>
      <c r="C19" s="42" t="n">
        <v>1231500</v>
      </c>
      <c r="D19" s="42" t="n">
        <v>759000</v>
      </c>
      <c r="E19" s="42" t="n">
        <v>759000</v>
      </c>
      <c r="F19" s="42" t="n">
        <v>759000</v>
      </c>
      <c r="G19" s="42" t="n">
        <v>759000</v>
      </c>
      <c r="H19" s="42" t="n">
        <v>5092500</v>
      </c>
    </row>
    <row r="20">
      <c r="A20" s="34" t="inlineStr">
        <is>
          <t xml:space="preserve">  Seed cumulative received</t>
        </is>
      </c>
      <c r="B20" s="35" t="n">
        <v>825000</v>
      </c>
      <c r="C20" s="35" t="n">
        <v>2056500</v>
      </c>
      <c r="D20" s="35" t="n">
        <v>2815500</v>
      </c>
      <c r="E20" s="35" t="n">
        <v>3574500</v>
      </c>
      <c r="F20" s="35" t="n">
        <v>4333500</v>
      </c>
      <c r="G20" s="35" t="n">
        <v>5092500</v>
      </c>
      <c r="H20" s="36" t="n">
        <v>18697500</v>
      </c>
    </row>
    <row r="21">
      <c r="A21" s="43" t="inlineStr">
        <is>
          <t xml:space="preserve">  Seed MOIC</t>
        </is>
      </c>
      <c r="B21" s="44" t="n">
        <v>0.55</v>
      </c>
      <c r="C21" s="44" t="n">
        <v>1.371</v>
      </c>
      <c r="D21" s="44" t="n">
        <v>1.877</v>
      </c>
      <c r="E21" s="44" t="n">
        <v>2.383</v>
      </c>
      <c r="F21" s="44" t="n">
        <v>2.889</v>
      </c>
      <c r="G21" s="44" t="n">
        <v>3.395</v>
      </c>
    </row>
    <row r="22">
      <c r="A22" s="34" t="inlineStr">
        <is>
          <t xml:space="preserve">  To parent / common (retained)</t>
        </is>
      </c>
      <c r="B22" s="35" t="n">
        <v>825000</v>
      </c>
      <c r="C22" s="35" t="n">
        <v>3828500</v>
      </c>
      <c r="D22" s="35" t="n">
        <v>4301000</v>
      </c>
      <c r="E22" s="35" t="n">
        <v>4301000</v>
      </c>
      <c r="F22" s="35" t="n">
        <v>4301000</v>
      </c>
      <c r="G22" s="35" t="n">
        <v>4301000</v>
      </c>
      <c r="H22" s="36" t="n">
        <v>21857500</v>
      </c>
    </row>
    <row r="24">
      <c r="A24" s="45" t="inlineStr">
        <is>
          <t>Return of capital (1×) reached: 2028   ·   2× reached: 2030   ·   ~3.4× by 2032 + residual equity.</t>
        </is>
      </c>
    </row>
    <row r="26">
      <c r="A26" s="30" t="inlineStr">
        <is>
          <t>Year-1 SPV payout: SPV breaks even before team revenue, so profit = team-rev share = $14.0M × 85% = $11.9M. Parent's 40% = $4.76M, paid end of SPV Year 1 (2028).</t>
        </is>
      </c>
    </row>
    <row r="27">
      <c r="A27" s="30" t="inlineStr">
        <is>
          <t>Waterfall runs on parent GROSS revenue (per your instruction): 50¢/$1 to seed until 1× ($1.5M), then 15¢/$1 until 2× ($3.0M), then 15% pro-rata (regular payouts).</t>
        </is>
      </c>
    </row>
    <row r="28">
      <c r="A28" s="30" t="inlineStr">
        <is>
          <t>One SPV / one team, base case, team revenue held flat across the 5 SPV seasons (2027-28 → 2031-32; distributions 2028-2032). Additional cohorts multiply this — the franchise curve.</t>
        </is>
      </c>
    </row>
    <row r="29">
      <c r="A29" s="30" t="inlineStr">
        <is>
          <t>Seed is largely returned within ~2 years of the raise; 2× by 2030; residual equity beyond. Franchise + mgmt fees are the parent's early money, the 40% distribution is the back-end.</t>
        </is>
      </c>
    </row>
  </sheetData>
  <mergeCells count="5">
    <mergeCell ref="A26:H26"/>
    <mergeCell ref="A29:H29"/>
    <mergeCell ref="A28:H28"/>
    <mergeCell ref="A1:H1"/>
    <mergeCell ref="A27:H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2026-07-17T04:00:50Z</dcterms:created>
  <dcterms:modified xmlns:dcterms="http://purl.org/dc/terms/" xmlns:xsi="http://www.w3.org/2001/XMLSchema-instance" xsi:type="dcterms:W3CDTF">2026-07-17T04:00:50Z</dcterms:modified>
</cp:coreProperties>
</file>