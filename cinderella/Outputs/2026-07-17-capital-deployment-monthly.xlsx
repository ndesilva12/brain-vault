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Deploy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;&quot;–&quot;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color rgb="00FFD966"/>
    </font>
    <font>
      <b val="1"/>
    </font>
    <font>
      <i val="1"/>
      <color rgb="00595959"/>
      <sz val="8"/>
    </font>
    <font>
      <b val="1"/>
      <i val="1"/>
    </font>
    <font>
      <b val="1"/>
      <i val="1"/>
      <color rgb="00BF9000"/>
    </font>
    <font>
      <b val="1"/>
      <color rgb="00BF9000"/>
    </font>
    <font>
      <b val="1"/>
      <color rgb="00FFFFFF"/>
      <sz val="11"/>
    </font>
    <font>
      <i val="1"/>
      <color rgb="0040404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8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4" fillId="4" borderId="0" pivotButton="0" quotePrefix="0" xfId="0"/>
    <xf numFmtId="0" fontId="0" fillId="4" borderId="0" pivotButton="0" quotePrefix="0" xfId="0"/>
    <xf numFmtId="0" fontId="2" fillId="5" borderId="0" pivotButton="0" quotePrefix="0" xfId="0"/>
    <xf numFmtId="164" fontId="2" fillId="5" borderId="0" pivotButton="0" quotePrefix="0" xfId="0"/>
    <xf numFmtId="0" fontId="0" fillId="5" borderId="0" pivotButton="0" quotePrefix="0" xfId="0"/>
    <xf numFmtId="0" fontId="4" fillId="6" borderId="0" pivotButton="0" quotePrefix="0" xfId="0"/>
    <xf numFmtId="164" fontId="4" fillId="6" borderId="0" pivotButton="0" quotePrefix="0" xfId="0"/>
    <xf numFmtId="0" fontId="7" fillId="0" borderId="0" pivotButton="0" quotePrefix="0" xfId="0"/>
    <xf numFmtId="164" fontId="8" fillId="0" borderId="0" pivotButton="0" quotePrefix="0" xfId="0"/>
    <xf numFmtId="0" fontId="9" fillId="2" borderId="0" pivotButton="0" quotePrefix="0" xfId="0"/>
    <xf numFmtId="0" fontId="0" fillId="2" borderId="0" pivotButton="0" quotePrefix="0" xfId="0"/>
    <xf numFmtId="164" fontId="9" fillId="2" borderId="0" pivotButton="0" quotePrefix="0" xfId="0"/>
    <xf numFmtId="0" fontId="2" fillId="7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1" customWidth="1" min="20" max="20"/>
    <col width="52" customWidth="1" min="21" max="21"/>
  </cols>
  <sheetData>
    <row r="1" ht="22" customHeight="1">
      <c r="A1" s="1" t="inlineStr">
        <is>
          <t>Cinderella Corp — Capital Deployment (spending only) · $1.5M seed · Jul 2026 → Dec 2027</t>
        </is>
      </c>
    </row>
    <row r="3">
      <c r="A3" s="2" t="inlineStr">
        <is>
          <t>Line item</t>
        </is>
      </c>
      <c r="B3" s="3" t="inlineStr">
        <is>
          <t>Jul-26</t>
        </is>
      </c>
      <c r="C3" s="3" t="inlineStr">
        <is>
          <t>Aug-26</t>
        </is>
      </c>
      <c r="D3" s="3" t="inlineStr">
        <is>
          <t>Sep-26</t>
        </is>
      </c>
      <c r="E3" s="3" t="inlineStr">
        <is>
          <t>Oct-26</t>
        </is>
      </c>
      <c r="F3" s="3" t="inlineStr">
        <is>
          <t>Nov-26</t>
        </is>
      </c>
      <c r="G3" s="3" t="inlineStr">
        <is>
          <t>Dec-26</t>
        </is>
      </c>
      <c r="H3" s="4" t="inlineStr">
        <is>
          <t>Jan-27</t>
        </is>
      </c>
      <c r="I3" s="3" t="inlineStr">
        <is>
          <t>Feb-27</t>
        </is>
      </c>
      <c r="J3" s="3" t="inlineStr">
        <is>
          <t>Mar-27</t>
        </is>
      </c>
      <c r="K3" s="3" t="inlineStr">
        <is>
          <t>Apr-27</t>
        </is>
      </c>
      <c r="L3" s="3" t="inlineStr">
        <is>
          <t>May-27</t>
        </is>
      </c>
      <c r="M3" s="3" t="inlineStr">
        <is>
          <t>Jun-27</t>
        </is>
      </c>
      <c r="N3" s="3" t="inlineStr">
        <is>
          <t>Jul-27</t>
        </is>
      </c>
      <c r="O3" s="3" t="inlineStr">
        <is>
          <t>Aug-27</t>
        </is>
      </c>
      <c r="P3" s="3" t="inlineStr">
        <is>
          <t>Sep-27</t>
        </is>
      </c>
      <c r="Q3" s="3" t="inlineStr">
        <is>
          <t>Oct-27</t>
        </is>
      </c>
      <c r="R3" s="3" t="inlineStr">
        <is>
          <t>Nov-27</t>
        </is>
      </c>
      <c r="S3" s="3" t="inlineStr">
        <is>
          <t>Dec-27</t>
        </is>
      </c>
      <c r="T3" s="3" t="inlineStr">
        <is>
          <t>TOTAL</t>
        </is>
      </c>
      <c r="U3" s="2" t="inlineStr">
        <is>
          <t>Timing rationale</t>
        </is>
      </c>
    </row>
    <row r="4">
      <c r="A4" s="5" t="inlineStr">
        <is>
          <t>LEGAL  (Sunjay-overseen)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</row>
    <row r="5">
      <c r="A5" t="inlineStr">
        <is>
          <t xml:space="preserve">   Engagement / retainer</t>
        </is>
      </c>
      <c r="B5" s="7" t="n">
        <v>10000</v>
      </c>
      <c r="T5" s="8" t="n">
        <v>10000</v>
      </c>
      <c r="U5" s="9" t="inlineStr">
        <is>
          <t>At close</t>
        </is>
      </c>
    </row>
    <row r="6">
      <c r="A6" t="inlineStr">
        <is>
          <t xml:space="preserve">   NCAA — NIL contracts / compliance</t>
        </is>
      </c>
      <c r="J6" s="7" t="n">
        <v>5000</v>
      </c>
      <c r="K6" s="7" t="n">
        <v>10000</v>
      </c>
      <c r="L6" s="7" t="n">
        <v>10000</v>
      </c>
      <c r="M6" s="7" t="n">
        <v>10000</v>
      </c>
      <c r="N6" s="7" t="n">
        <v>10000</v>
      </c>
      <c r="O6" s="7" t="n">
        <v>8000</v>
      </c>
      <c r="P6" s="7" t="n">
        <v>7000</v>
      </c>
      <c r="Q6" s="7" t="n">
        <v>5000</v>
      </c>
      <c r="R6" s="7" t="n">
        <v>5000</v>
      </c>
      <c r="S6" s="7" t="n">
        <v>5000</v>
      </c>
      <c r="T6" s="8" t="n">
        <v>75000</v>
      </c>
      <c r="U6" s="9" t="inlineStr">
        <is>
          <t>Roster/NIL contracting — spring portal into S1 build</t>
        </is>
      </c>
    </row>
    <row r="7">
      <c r="A7" t="inlineStr">
        <is>
          <t xml:space="preserve">   Celebrity + school contracting</t>
        </is>
      </c>
      <c r="F7" s="7" t="n">
        <v>4000</v>
      </c>
      <c r="G7" s="7" t="n">
        <v>4000</v>
      </c>
      <c r="I7" s="7" t="n">
        <v>4000</v>
      </c>
      <c r="K7" s="7" t="n">
        <v>5000</v>
      </c>
      <c r="M7" s="7" t="n">
        <v>4000</v>
      </c>
      <c r="P7" s="7" t="n">
        <v>4000</v>
      </c>
      <c r="T7" s="8" t="n">
        <v>25000</v>
      </c>
      <c r="U7" s="9" t="inlineStr">
        <is>
          <t>As LOIs/contracts land (late-26 into 27)</t>
        </is>
      </c>
    </row>
    <row r="8">
      <c r="A8" t="inlineStr">
        <is>
          <t xml:space="preserve">   Corporate / securities / SPV framework</t>
        </is>
      </c>
      <c r="C8" s="7" t="n">
        <v>8000</v>
      </c>
      <c r="D8" s="7" t="n">
        <v>7000</v>
      </c>
      <c r="E8" s="7" t="n">
        <v>5000</v>
      </c>
      <c r="H8" s="7" t="n">
        <v>5000</v>
      </c>
      <c r="T8" s="8" t="n">
        <v>25000</v>
      </c>
      <c r="U8" s="9" t="inlineStr">
        <is>
          <t>Front-loaded — needed to raise SPV capital</t>
        </is>
      </c>
    </row>
    <row r="9">
      <c r="A9" t="inlineStr">
        <is>
          <t xml:space="preserve">   IP protection &amp; filing</t>
        </is>
      </c>
      <c r="C9" s="7" t="n">
        <v>8000</v>
      </c>
      <c r="D9" s="7" t="n">
        <v>4000</v>
      </c>
      <c r="F9" s="7" t="n">
        <v>3000</v>
      </c>
      <c r="T9" s="8" t="n">
        <v>15000</v>
      </c>
      <c r="U9" s="9" t="inlineStr">
        <is>
          <t>Trademark filings early</t>
        </is>
      </c>
    </row>
    <row r="10">
      <c r="A10" s="10" t="inlineStr">
        <is>
          <t xml:space="preserve">   Subtotal — LEGAL</t>
        </is>
      </c>
      <c r="B10" s="11">
        <f>SUM(B5:B9)</f>
        <v/>
      </c>
      <c r="C10" s="11">
        <f>SUM(C5:C9)</f>
        <v/>
      </c>
      <c r="D10" s="11">
        <f>SUM(D5:D9)</f>
        <v/>
      </c>
      <c r="E10" s="11">
        <f>SUM(E5:E9)</f>
        <v/>
      </c>
      <c r="F10" s="11">
        <f>SUM(F5:F9)</f>
        <v/>
      </c>
      <c r="G10" s="11">
        <f>SUM(G5:G9)</f>
        <v/>
      </c>
      <c r="H10" s="11">
        <f>SUM(H5:H9)</f>
        <v/>
      </c>
      <c r="I10" s="11">
        <f>SUM(I5:I9)</f>
        <v/>
      </c>
      <c r="J10" s="11">
        <f>SUM(J5:J9)</f>
        <v/>
      </c>
      <c r="K10" s="11">
        <f>SUM(K5:K9)</f>
        <v/>
      </c>
      <c r="L10" s="11">
        <f>SUM(L5:L9)</f>
        <v/>
      </c>
      <c r="M10" s="11">
        <f>SUM(M5:M9)</f>
        <v/>
      </c>
      <c r="N10" s="11">
        <f>SUM(N5:N9)</f>
        <v/>
      </c>
      <c r="O10" s="11">
        <f>SUM(O5:O9)</f>
        <v/>
      </c>
      <c r="P10" s="11">
        <f>SUM(P5:P9)</f>
        <v/>
      </c>
      <c r="Q10" s="11">
        <f>SUM(Q5:Q9)</f>
        <v/>
      </c>
      <c r="R10" s="11">
        <f>SUM(R5:R9)</f>
        <v/>
      </c>
      <c r="S10" s="11">
        <f>SUM(S5:S9)</f>
        <v/>
      </c>
      <c r="T10" s="11">
        <f>SUM(T5:T9)</f>
        <v/>
      </c>
      <c r="U10" s="12" t="n"/>
    </row>
    <row r="11">
      <c r="A11" s="5" t="inlineStr">
        <is>
          <t>PEOPLE &amp; TEAM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</row>
    <row r="12">
      <c r="A12" t="inlineStr">
        <is>
          <t xml:space="preserve">   Founder salary (17 mo)</t>
        </is>
      </c>
      <c r="C12" s="7" t="n">
        <v>13236</v>
      </c>
      <c r="D12" s="7" t="n">
        <v>13236</v>
      </c>
      <c r="E12" s="7" t="n">
        <v>13236</v>
      </c>
      <c r="F12" s="7" t="n">
        <v>13236</v>
      </c>
      <c r="G12" s="7" t="n">
        <v>13236</v>
      </c>
      <c r="H12" s="7" t="n">
        <v>13235</v>
      </c>
      <c r="I12" s="7" t="n">
        <v>13235</v>
      </c>
      <c r="J12" s="7" t="n">
        <v>13235</v>
      </c>
      <c r="K12" s="7" t="n">
        <v>13235</v>
      </c>
      <c r="L12" s="7" t="n">
        <v>13235</v>
      </c>
      <c r="M12" s="7" t="n">
        <v>13235</v>
      </c>
      <c r="N12" s="7" t="n">
        <v>13235</v>
      </c>
      <c r="O12" s="7" t="n">
        <v>13235</v>
      </c>
      <c r="P12" s="7" t="n">
        <v>13235</v>
      </c>
      <c r="Q12" s="7" t="n">
        <v>13235</v>
      </c>
      <c r="R12" s="7" t="n">
        <v>13235</v>
      </c>
      <c r="S12" s="7" t="n">
        <v>13235</v>
      </c>
      <c r="T12" s="8" t="n">
        <v>225000</v>
      </c>
      <c r="U12" s="9" t="inlineStr">
        <is>
          <t>Aug-26 -&gt; Dec-27, level</t>
        </is>
      </c>
    </row>
    <row r="13">
      <c r="A13" t="inlineStr">
        <is>
          <t xml:space="preserve">   Founder salary (2026 deferred)</t>
        </is>
      </c>
      <c r="Q13" s="7" t="n">
        <v>33000</v>
      </c>
      <c r="R13" s="7" t="n">
        <v>33000</v>
      </c>
      <c r="S13" s="7" t="n">
        <v>34000</v>
      </c>
      <c r="T13" s="8" t="n">
        <v>100000</v>
      </c>
      <c r="U13" s="9" t="inlineStr">
        <is>
          <t>Deferred comp, paid as SPV close nears</t>
        </is>
      </c>
    </row>
    <row r="14">
      <c r="A14" t="inlineStr">
        <is>
          <t xml:space="preserve">   Basketball ops hires (lean/partial-yr)</t>
        </is>
      </c>
      <c r="D14" s="7" t="n">
        <v>8000</v>
      </c>
      <c r="E14" s="7" t="n">
        <v>8000</v>
      </c>
      <c r="F14" s="7" t="n">
        <v>10000</v>
      </c>
      <c r="G14" s="7" t="n">
        <v>10000</v>
      </c>
      <c r="H14" s="7" t="n">
        <v>10000</v>
      </c>
      <c r="I14" s="7" t="n">
        <v>10000</v>
      </c>
      <c r="J14" s="7" t="n">
        <v>12000</v>
      </c>
      <c r="K14" s="7" t="n">
        <v>14000</v>
      </c>
      <c r="L14" s="7" t="n">
        <v>12000</v>
      </c>
      <c r="M14" s="7" t="n">
        <v>10000</v>
      </c>
      <c r="N14" s="7" t="n">
        <v>12000</v>
      </c>
      <c r="O14" s="7" t="n">
        <v>12000</v>
      </c>
      <c r="P14" s="7" t="n">
        <v>11000</v>
      </c>
      <c r="Q14" s="7" t="n">
        <v>11000</v>
      </c>
      <c r="R14" s="7" t="n">
        <v>12500</v>
      </c>
      <c r="S14" s="7" t="n">
        <v>12500</v>
      </c>
      <c r="T14" s="8" t="n">
        <v>175000</v>
      </c>
      <c r="U14" s="9" t="inlineStr">
        <is>
          <t>Ramps into season / portal windows</t>
        </is>
      </c>
    </row>
    <row r="15">
      <c r="A15" t="inlineStr">
        <is>
          <t xml:space="preserve">   Sales / partnerships (commission)</t>
        </is>
      </c>
      <c r="J15" s="7" t="n">
        <v>8000</v>
      </c>
      <c r="M15" s="7" t="n">
        <v>12000</v>
      </c>
      <c r="O15" s="7" t="n">
        <v>15000</v>
      </c>
      <c r="P15" s="7" t="n">
        <v>20000</v>
      </c>
      <c r="Q15" s="7" t="n">
        <v>15000</v>
      </c>
      <c r="R15" s="7" t="n">
        <v>15000</v>
      </c>
      <c r="S15" s="7" t="n">
        <v>15000</v>
      </c>
      <c r="T15" s="8" t="n">
        <v>100000</v>
      </c>
      <c r="U15" s="9" t="inlineStr">
        <is>
          <t>SUNJAY — paid on sponsor closes, back-weighted</t>
        </is>
      </c>
    </row>
    <row r="16">
      <c r="A16" s="10" t="inlineStr">
        <is>
          <t xml:space="preserve">   Subtotal — PEOPLE &amp; TEAM</t>
        </is>
      </c>
      <c r="B16" s="11">
        <f>SUM(B12:B15)</f>
        <v/>
      </c>
      <c r="C16" s="11">
        <f>SUM(C12:C15)</f>
        <v/>
      </c>
      <c r="D16" s="11">
        <f>SUM(D12:D15)</f>
        <v/>
      </c>
      <c r="E16" s="11">
        <f>SUM(E12:E15)</f>
        <v/>
      </c>
      <c r="F16" s="11">
        <f>SUM(F12:F15)</f>
        <v/>
      </c>
      <c r="G16" s="11">
        <f>SUM(G12:G15)</f>
        <v/>
      </c>
      <c r="H16" s="11">
        <f>SUM(H12:H15)</f>
        <v/>
      </c>
      <c r="I16" s="11">
        <f>SUM(I12:I15)</f>
        <v/>
      </c>
      <c r="J16" s="11">
        <f>SUM(J12:J15)</f>
        <v/>
      </c>
      <c r="K16" s="11">
        <f>SUM(K12:K15)</f>
        <v/>
      </c>
      <c r="L16" s="11">
        <f>SUM(L12:L15)</f>
        <v/>
      </c>
      <c r="M16" s="11">
        <f>SUM(M12:M15)</f>
        <v/>
      </c>
      <c r="N16" s="11">
        <f>SUM(N12:N15)</f>
        <v/>
      </c>
      <c r="O16" s="11">
        <f>SUM(O12:O15)</f>
        <v/>
      </c>
      <c r="P16" s="11">
        <f>SUM(P12:P15)</f>
        <v/>
      </c>
      <c r="Q16" s="11">
        <f>SUM(Q12:Q15)</f>
        <v/>
      </c>
      <c r="R16" s="11">
        <f>SUM(R12:R15)</f>
        <v/>
      </c>
      <c r="S16" s="11">
        <f>SUM(S12:S15)</f>
        <v/>
      </c>
      <c r="T16" s="11">
        <f>SUM(T12:T15)</f>
        <v/>
      </c>
      <c r="U16" s="12" t="n"/>
    </row>
    <row r="17">
      <c r="A17" s="5" t="inlineStr">
        <is>
          <t>TRAVEL &amp; FIELD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</row>
    <row r="18">
      <c r="A18" t="inlineStr">
        <is>
          <t xml:space="preserve">   Basketball ops &amp; scouting</t>
        </is>
      </c>
      <c r="B18" s="7" t="n">
        <v>12000</v>
      </c>
      <c r="C18" s="7" t="n">
        <v>10000</v>
      </c>
      <c r="D18" s="7" t="n">
        <v>3000</v>
      </c>
      <c r="E18" s="7" t="n">
        <v>3000</v>
      </c>
      <c r="F18" s="7" t="n">
        <v>9000</v>
      </c>
      <c r="G18" s="7" t="n">
        <v>7000</v>
      </c>
      <c r="J18" s="7" t="n">
        <v>8000</v>
      </c>
      <c r="K18" s="7" t="n">
        <v>10000</v>
      </c>
      <c r="M18" s="7" t="n">
        <v>3000</v>
      </c>
      <c r="N18" s="7" t="n">
        <v>10000</v>
      </c>
      <c r="O18" s="7" t="n">
        <v>8000</v>
      </c>
      <c r="R18" s="7" t="n">
        <v>9000</v>
      </c>
      <c r="S18" s="7" t="n">
        <v>8000</v>
      </c>
      <c r="T18" s="8" t="n">
        <v>100000</v>
      </c>
      <c r="U18" s="9" t="inlineStr">
        <is>
          <t>Jul/Aug live periods · Nov/Dec MTEs · Mar tourney · Apr portal</t>
        </is>
      </c>
    </row>
    <row r="19">
      <c r="A19" t="inlineStr">
        <is>
          <t xml:space="preserve">   Sponsor / streaming / production BD</t>
        </is>
      </c>
      <c r="E19" s="7" t="n">
        <v>5000</v>
      </c>
      <c r="H19" s="7" t="n">
        <v>6000</v>
      </c>
      <c r="J19" s="7" t="n">
        <v>8000</v>
      </c>
      <c r="M19" s="7" t="n">
        <v>7000</v>
      </c>
      <c r="N19" s="7" t="n">
        <v>5000</v>
      </c>
      <c r="P19" s="7" t="n">
        <v>7000</v>
      </c>
      <c r="Q19" s="7" t="n">
        <v>6000</v>
      </c>
      <c r="R19" s="7" t="n">
        <v>6000</v>
      </c>
      <c r="T19" s="8" t="n">
        <v>50000</v>
      </c>
      <c r="U19" s="9" t="inlineStr">
        <is>
          <t>SUNJAY — NYC/LA; peaks at March Madness &amp; pre-season</t>
        </is>
      </c>
    </row>
    <row r="20">
      <c r="A20" t="inlineStr">
        <is>
          <t xml:space="preserve">   Celebrity procurement</t>
        </is>
      </c>
      <c r="D20" s="7" t="n">
        <v>6000</v>
      </c>
      <c r="E20" s="7" t="n">
        <v>7000</v>
      </c>
      <c r="F20" s="7" t="n">
        <v>6000</v>
      </c>
      <c r="J20" s="7" t="n">
        <v>8000</v>
      </c>
      <c r="K20" s="7" t="n">
        <v>6000</v>
      </c>
      <c r="M20" s="7" t="n">
        <v>5000</v>
      </c>
      <c r="P20" s="7" t="n">
        <v>6000</v>
      </c>
      <c r="R20" s="7" t="n">
        <v>6000</v>
      </c>
      <c r="T20" s="8" t="n">
        <v>50000</v>
      </c>
      <c r="U20" s="9" t="inlineStr">
        <is>
          <t>LA/Bay Area; peaks around visibility windows</t>
        </is>
      </c>
    </row>
    <row r="21">
      <c r="A21" t="inlineStr">
        <is>
          <t xml:space="preserve">   School procurement</t>
        </is>
      </c>
      <c r="D21" s="7" t="n">
        <v>8000</v>
      </c>
      <c r="E21" s="7" t="n">
        <v>8000</v>
      </c>
      <c r="F21" s="7" t="n">
        <v>7000</v>
      </c>
      <c r="G21" s="7" t="n">
        <v>4000</v>
      </c>
      <c r="K21" s="7" t="n">
        <v>5000</v>
      </c>
      <c r="L21" s="7" t="n">
        <v>5000</v>
      </c>
      <c r="O21" s="7" t="n">
        <v>5000</v>
      </c>
      <c r="Q21" s="7" t="n">
        <v>8000</v>
      </c>
      <c r="T21" s="8" t="n">
        <v>50000</v>
      </c>
      <c r="U21" s="9" t="inlineStr">
        <is>
          <t>AD/president visits — heavy H2-26 to lock anchor</t>
        </is>
      </c>
    </row>
    <row r="22">
      <c r="A22" s="10" t="inlineStr">
        <is>
          <t xml:space="preserve">   Subtotal — TRAVEL &amp; FIELD</t>
        </is>
      </c>
      <c r="B22" s="11">
        <f>SUM(B18:B21)</f>
        <v/>
      </c>
      <c r="C22" s="11">
        <f>SUM(C18:C21)</f>
        <v/>
      </c>
      <c r="D22" s="11">
        <f>SUM(D18:D21)</f>
        <v/>
      </c>
      <c r="E22" s="11">
        <f>SUM(E18:E21)</f>
        <v/>
      </c>
      <c r="F22" s="11">
        <f>SUM(F18:F21)</f>
        <v/>
      </c>
      <c r="G22" s="11">
        <f>SUM(G18:G21)</f>
        <v/>
      </c>
      <c r="H22" s="11">
        <f>SUM(H18:H21)</f>
        <v/>
      </c>
      <c r="I22" s="11">
        <f>SUM(I18:I21)</f>
        <v/>
      </c>
      <c r="J22" s="11">
        <f>SUM(J18:J21)</f>
        <v/>
      </c>
      <c r="K22" s="11">
        <f>SUM(K18:K21)</f>
        <v/>
      </c>
      <c r="L22" s="11">
        <f>SUM(L18:L21)</f>
        <v/>
      </c>
      <c r="M22" s="11">
        <f>SUM(M18:M21)</f>
        <v/>
      </c>
      <c r="N22" s="11">
        <f>SUM(N18:N21)</f>
        <v/>
      </c>
      <c r="O22" s="11">
        <f>SUM(O18:O21)</f>
        <v/>
      </c>
      <c r="P22" s="11">
        <f>SUM(P18:P21)</f>
        <v/>
      </c>
      <c r="Q22" s="11">
        <f>SUM(Q18:Q21)</f>
        <v/>
      </c>
      <c r="R22" s="11">
        <f>SUM(R18:R21)</f>
        <v/>
      </c>
      <c r="S22" s="11">
        <f>SUM(S18:S21)</f>
        <v/>
      </c>
      <c r="T22" s="11">
        <f>SUM(T18:T21)</f>
        <v/>
      </c>
      <c r="U22" s="12" t="n"/>
    </row>
    <row r="23">
      <c r="A23" s="5" t="inlineStr">
        <is>
          <t>CELEBRITY ACCESS FEES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</row>
    <row r="24">
      <c r="A24" t="inlineStr">
        <is>
          <t xml:space="preserve">   Celebrity access / attachment fees</t>
        </is>
      </c>
      <c r="D24" s="7" t="n">
        <v>20000</v>
      </c>
      <c r="E24" s="7" t="n">
        <v>20000</v>
      </c>
      <c r="F24" s="7" t="n">
        <v>15000</v>
      </c>
      <c r="G24" s="7" t="n">
        <v>15000</v>
      </c>
      <c r="I24" s="7" t="n">
        <v>15000</v>
      </c>
      <c r="J24" s="7" t="n">
        <v>20000</v>
      </c>
      <c r="K24" s="7" t="n">
        <v>15000</v>
      </c>
      <c r="M24" s="7" t="n">
        <v>15000</v>
      </c>
      <c r="P24" s="7" t="n">
        <v>15000</v>
      </c>
      <c r="T24" s="8" t="n">
        <v>150000</v>
      </c>
      <c r="U24" s="9" t="inlineStr">
        <is>
          <t>Deployed as intros/attachments land; anchor first</t>
        </is>
      </c>
    </row>
    <row r="25">
      <c r="A25" s="10" t="inlineStr">
        <is>
          <t xml:space="preserve">   Subtotal — CELEBRITY ACCESS FEES</t>
        </is>
      </c>
      <c r="B25" s="11">
        <f>SUM(B24:B24)</f>
        <v/>
      </c>
      <c r="C25" s="11">
        <f>SUM(C24:C24)</f>
        <v/>
      </c>
      <c r="D25" s="11">
        <f>SUM(D24:D24)</f>
        <v/>
      </c>
      <c r="E25" s="11">
        <f>SUM(E24:E24)</f>
        <v/>
      </c>
      <c r="F25" s="11">
        <f>SUM(F24:F24)</f>
        <v/>
      </c>
      <c r="G25" s="11">
        <f>SUM(G24:G24)</f>
        <v/>
      </c>
      <c r="H25" s="11">
        <f>SUM(H24:H24)</f>
        <v/>
      </c>
      <c r="I25" s="11">
        <f>SUM(I24:I24)</f>
        <v/>
      </c>
      <c r="J25" s="11">
        <f>SUM(J24:J24)</f>
        <v/>
      </c>
      <c r="K25" s="11">
        <f>SUM(K24:K24)</f>
        <v/>
      </c>
      <c r="L25" s="11">
        <f>SUM(L24:L24)</f>
        <v/>
      </c>
      <c r="M25" s="11">
        <f>SUM(M24:M24)</f>
        <v/>
      </c>
      <c r="N25" s="11">
        <f>SUM(N24:N24)</f>
        <v/>
      </c>
      <c r="O25" s="11">
        <f>SUM(O24:O24)</f>
        <v/>
      </c>
      <c r="P25" s="11">
        <f>SUM(P24:P24)</f>
        <v/>
      </c>
      <c r="Q25" s="11">
        <f>SUM(Q24:Q24)</f>
        <v/>
      </c>
      <c r="R25" s="11">
        <f>SUM(R24:R24)</f>
        <v/>
      </c>
      <c r="S25" s="11">
        <f>SUM(S24:S24)</f>
        <v/>
      </c>
      <c r="T25" s="11">
        <f>SUM(T24:T24)</f>
        <v/>
      </c>
      <c r="U25" s="12" t="n"/>
    </row>
    <row r="26">
      <c r="A26" s="5" t="inlineStr">
        <is>
          <t>BRANDING / TEASER / CONTENT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</row>
    <row r="27">
      <c r="A27" t="inlineStr">
        <is>
          <t xml:space="preserve">   Brand identity + teaser reel</t>
        </is>
      </c>
      <c r="C27" s="7" t="n">
        <v>5000</v>
      </c>
      <c r="D27" s="7" t="n">
        <v>5000</v>
      </c>
      <c r="E27" s="7" t="n">
        <v>3000</v>
      </c>
      <c r="F27" s="7" t="n">
        <v>2000</v>
      </c>
      <c r="T27" s="8" t="n">
        <v>15000</v>
      </c>
      <c r="U27" s="9" t="inlineStr">
        <is>
          <t>Early — asset to sell the vision</t>
        </is>
      </c>
    </row>
    <row r="28">
      <c r="A28" s="10" t="inlineStr">
        <is>
          <t xml:space="preserve">   Subtotal — BRANDING / TEASER / CONTENT</t>
        </is>
      </c>
      <c r="B28" s="11">
        <f>SUM(B27:B27)</f>
        <v/>
      </c>
      <c r="C28" s="11">
        <f>SUM(C27:C27)</f>
        <v/>
      </c>
      <c r="D28" s="11">
        <f>SUM(D27:D27)</f>
        <v/>
      </c>
      <c r="E28" s="11">
        <f>SUM(E27:E27)</f>
        <v/>
      </c>
      <c r="F28" s="11">
        <f>SUM(F27:F27)</f>
        <v/>
      </c>
      <c r="G28" s="11">
        <f>SUM(G27:G27)</f>
        <v/>
      </c>
      <c r="H28" s="11">
        <f>SUM(H27:H27)</f>
        <v/>
      </c>
      <c r="I28" s="11">
        <f>SUM(I27:I27)</f>
        <v/>
      </c>
      <c r="J28" s="11">
        <f>SUM(J27:J27)</f>
        <v/>
      </c>
      <c r="K28" s="11">
        <f>SUM(K27:K27)</f>
        <v/>
      </c>
      <c r="L28" s="11">
        <f>SUM(L27:L27)</f>
        <v/>
      </c>
      <c r="M28" s="11">
        <f>SUM(M27:M27)</f>
        <v/>
      </c>
      <c r="N28" s="11">
        <f>SUM(N27:N27)</f>
        <v/>
      </c>
      <c r="O28" s="11">
        <f>SUM(O27:O27)</f>
        <v/>
      </c>
      <c r="P28" s="11">
        <f>SUM(P27:P27)</f>
        <v/>
      </c>
      <c r="Q28" s="11">
        <f>SUM(Q27:Q27)</f>
        <v/>
      </c>
      <c r="R28" s="11">
        <f>SUM(R27:R27)</f>
        <v/>
      </c>
      <c r="S28" s="11">
        <f>SUM(S27:S27)</f>
        <v/>
      </c>
      <c r="T28" s="11">
        <f>SUM(T27:T27)</f>
        <v/>
      </c>
      <c r="U28" s="12" t="n"/>
    </row>
    <row r="29">
      <c r="A29" s="5" t="inlineStr">
        <is>
          <t>G&amp;A / OVERHEAD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</row>
    <row r="30">
      <c r="A30" t="inlineStr">
        <is>
          <t xml:space="preserve">   G&amp;A / overhead</t>
        </is>
      </c>
      <c r="B30" s="7" t="n">
        <v>1389</v>
      </c>
      <c r="C30" s="7" t="n">
        <v>1389</v>
      </c>
      <c r="D30" s="7" t="n">
        <v>1389</v>
      </c>
      <c r="E30" s="7" t="n">
        <v>1389</v>
      </c>
      <c r="F30" s="7" t="n">
        <v>1389</v>
      </c>
      <c r="G30" s="7" t="n">
        <v>1389</v>
      </c>
      <c r="H30" s="7" t="n">
        <v>1389</v>
      </c>
      <c r="I30" s="7" t="n">
        <v>1389</v>
      </c>
      <c r="J30" s="7" t="n">
        <v>1389</v>
      </c>
      <c r="K30" s="7" t="n">
        <v>1389</v>
      </c>
      <c r="L30" s="7" t="n">
        <v>1389</v>
      </c>
      <c r="M30" s="7" t="n">
        <v>1389</v>
      </c>
      <c r="N30" s="7" t="n">
        <v>1389</v>
      </c>
      <c r="O30" s="7" t="n">
        <v>1389</v>
      </c>
      <c r="P30" s="7" t="n">
        <v>1389</v>
      </c>
      <c r="Q30" s="7" t="n">
        <v>1389</v>
      </c>
      <c r="R30" s="7" t="n">
        <v>1388</v>
      </c>
      <c r="S30" s="7" t="n">
        <v>1388</v>
      </c>
      <c r="T30" s="8" t="n">
        <v>25000</v>
      </c>
      <c r="U30" s="9" t="inlineStr">
        <is>
          <t>Level run-rate (SaaS, banking, DE tax, comms)</t>
        </is>
      </c>
    </row>
    <row r="31">
      <c r="A31" s="10" t="inlineStr">
        <is>
          <t xml:space="preserve">   Subtotal — G&amp;A / OVERHEAD</t>
        </is>
      </c>
      <c r="B31" s="11">
        <f>SUM(B30:B30)</f>
        <v/>
      </c>
      <c r="C31" s="11">
        <f>SUM(C30:C30)</f>
        <v/>
      </c>
      <c r="D31" s="11">
        <f>SUM(D30:D30)</f>
        <v/>
      </c>
      <c r="E31" s="11">
        <f>SUM(E30:E30)</f>
        <v/>
      </c>
      <c r="F31" s="11">
        <f>SUM(F30:F30)</f>
        <v/>
      </c>
      <c r="G31" s="11">
        <f>SUM(G30:G30)</f>
        <v/>
      </c>
      <c r="H31" s="11">
        <f>SUM(H30:H30)</f>
        <v/>
      </c>
      <c r="I31" s="11">
        <f>SUM(I30:I30)</f>
        <v/>
      </c>
      <c r="J31" s="11">
        <f>SUM(J30:J30)</f>
        <v/>
      </c>
      <c r="K31" s="11">
        <f>SUM(K30:K30)</f>
        <v/>
      </c>
      <c r="L31" s="11">
        <f>SUM(L30:L30)</f>
        <v/>
      </c>
      <c r="M31" s="11">
        <f>SUM(M30:M30)</f>
        <v/>
      </c>
      <c r="N31" s="11">
        <f>SUM(N30:N30)</f>
        <v/>
      </c>
      <c r="O31" s="11">
        <f>SUM(O30:O30)</f>
        <v/>
      </c>
      <c r="P31" s="11">
        <f>SUM(P30:P30)</f>
        <v/>
      </c>
      <c r="Q31" s="11">
        <f>SUM(Q30:Q30)</f>
        <v/>
      </c>
      <c r="R31" s="11">
        <f>SUM(R30:R30)</f>
        <v/>
      </c>
      <c r="S31" s="11">
        <f>SUM(S30:S30)</f>
        <v/>
      </c>
      <c r="T31" s="11">
        <f>SUM(T30:T30)</f>
        <v/>
      </c>
      <c r="U31" s="12" t="n"/>
    </row>
    <row r="32">
      <c r="A32" s="5" t="inlineStr">
        <is>
          <t>INSURANCE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</row>
    <row r="33">
      <c r="A33" t="inlineStr">
        <is>
          <t xml:space="preserve">   D&amp;O / insurance</t>
        </is>
      </c>
      <c r="B33" s="7" t="n">
        <v>6000</v>
      </c>
      <c r="N33" s="7" t="n">
        <v>4000</v>
      </c>
      <c r="T33" s="8" t="n">
        <v>10000</v>
      </c>
      <c r="U33" s="9" t="inlineStr">
        <is>
          <t>D&amp;O at close; renewal mid-27</t>
        </is>
      </c>
    </row>
    <row r="34">
      <c r="A34" s="10" t="inlineStr">
        <is>
          <t xml:space="preserve">   Subtotal — INSURANCE</t>
        </is>
      </c>
      <c r="B34" s="11">
        <f>SUM(B33:B33)</f>
        <v/>
      </c>
      <c r="C34" s="11">
        <f>SUM(C33:C33)</f>
        <v/>
      </c>
      <c r="D34" s="11">
        <f>SUM(D33:D33)</f>
        <v/>
      </c>
      <c r="E34" s="11">
        <f>SUM(E33:E33)</f>
        <v/>
      </c>
      <c r="F34" s="11">
        <f>SUM(F33:F33)</f>
        <v/>
      </c>
      <c r="G34" s="11">
        <f>SUM(G33:G33)</f>
        <v/>
      </c>
      <c r="H34" s="11">
        <f>SUM(H33:H33)</f>
        <v/>
      </c>
      <c r="I34" s="11">
        <f>SUM(I33:I33)</f>
        <v/>
      </c>
      <c r="J34" s="11">
        <f>SUM(J33:J33)</f>
        <v/>
      </c>
      <c r="K34" s="11">
        <f>SUM(K33:K33)</f>
        <v/>
      </c>
      <c r="L34" s="11">
        <f>SUM(L33:L33)</f>
        <v/>
      </c>
      <c r="M34" s="11">
        <f>SUM(M33:M33)</f>
        <v/>
      </c>
      <c r="N34" s="11">
        <f>SUM(N33:N33)</f>
        <v/>
      </c>
      <c r="O34" s="11">
        <f>SUM(O33:O33)</f>
        <v/>
      </c>
      <c r="P34" s="11">
        <f>SUM(P33:P33)</f>
        <v/>
      </c>
      <c r="Q34" s="11">
        <f>SUM(Q33:Q33)</f>
        <v/>
      </c>
      <c r="R34" s="11">
        <f>SUM(R33:R33)</f>
        <v/>
      </c>
      <c r="S34" s="11">
        <f>SUM(S33:S33)</f>
        <v/>
      </c>
      <c r="T34" s="11">
        <f>SUM(T33:T33)</f>
        <v/>
      </c>
      <c r="U34" s="12" t="n"/>
    </row>
    <row r="36">
      <c r="A36" s="13" t="inlineStr">
        <is>
          <t>MONTHLY DEPLOYED</t>
        </is>
      </c>
      <c r="B36" s="14">
        <f>B5+B6+B7+B8+B9+B12+B13+B14+B15+B18+B19+B20+B21+B24+B27+B30+B33</f>
        <v/>
      </c>
      <c r="C36" s="14">
        <f>C5+C6+C7+C8+C9+C12+C13+C14+C15+C18+C19+C20+C21+C24+C27+C30+C33</f>
        <v/>
      </c>
      <c r="D36" s="14">
        <f>D5+D6+D7+D8+D9+D12+D13+D14+D15+D18+D19+D20+D21+D24+D27+D30+D33</f>
        <v/>
      </c>
      <c r="E36" s="14">
        <f>E5+E6+E7+E8+E9+E12+E13+E14+E15+E18+E19+E20+E21+E24+E27+E30+E33</f>
        <v/>
      </c>
      <c r="F36" s="14">
        <f>F5+F6+F7+F8+F9+F12+F13+F14+F15+F18+F19+F20+F21+F24+F27+F30+F33</f>
        <v/>
      </c>
      <c r="G36" s="14">
        <f>G5+G6+G7+G8+G9+G12+G13+G14+G15+G18+G19+G20+G21+G24+G27+G30+G33</f>
        <v/>
      </c>
      <c r="H36" s="14">
        <f>H5+H6+H7+H8+H9+H12+H13+H14+H15+H18+H19+H20+H21+H24+H27+H30+H33</f>
        <v/>
      </c>
      <c r="I36" s="14">
        <f>I5+I6+I7+I8+I9+I12+I13+I14+I15+I18+I19+I20+I21+I24+I27+I30+I33</f>
        <v/>
      </c>
      <c r="J36" s="14">
        <f>J5+J6+J7+J8+J9+J12+J13+J14+J15+J18+J19+J20+J21+J24+J27+J30+J33</f>
        <v/>
      </c>
      <c r="K36" s="14">
        <f>K5+K6+K7+K8+K9+K12+K13+K14+K15+K18+K19+K20+K21+K24+K27+K30+K33</f>
        <v/>
      </c>
      <c r="L36" s="14">
        <f>L5+L6+L7+L8+L9+L12+L13+L14+L15+L18+L19+L20+L21+L24+L27+L30+L33</f>
        <v/>
      </c>
      <c r="M36" s="14">
        <f>M5+M6+M7+M8+M9+M12+M13+M14+M15+M18+M19+M20+M21+M24+M27+M30+M33</f>
        <v/>
      </c>
      <c r="N36" s="14">
        <f>N5+N6+N7+N8+N9+N12+N13+N14+N15+N18+N19+N20+N21+N24+N27+N30+N33</f>
        <v/>
      </c>
      <c r="O36" s="14">
        <f>O5+O6+O7+O8+O9+O12+O13+O14+O15+O18+O19+O20+O21+O24+O27+O30+O33</f>
        <v/>
      </c>
      <c r="P36" s="14">
        <f>P5+P6+P7+P8+P9+P12+P13+P14+P15+P18+P19+P20+P21+P24+P27+P30+P33</f>
        <v/>
      </c>
      <c r="Q36" s="14">
        <f>Q5+Q6+Q7+Q8+Q9+Q12+Q13+Q14+Q15+Q18+Q19+Q20+Q21+Q24+Q27+Q30+Q33</f>
        <v/>
      </c>
      <c r="R36" s="14">
        <f>R5+R6+R7+R8+R9+R12+R13+R14+R15+R18+R19+R20+R21+R24+R27+R30+R33</f>
        <v/>
      </c>
      <c r="S36" s="14">
        <f>S5+S6+S7+S8+S9+S12+S13+S14+S15+S18+S19+S20+S21+S24+S27+S30+S33</f>
        <v/>
      </c>
      <c r="T36" s="14">
        <f>SUM(B36:S36)</f>
        <v/>
      </c>
      <c r="U36" s="15" t="n"/>
    </row>
    <row r="37">
      <c r="A37" s="16" t="inlineStr">
        <is>
          <t>CUMULATIVE DEPLOYED</t>
        </is>
      </c>
      <c r="B37" s="17">
        <f>B36</f>
        <v/>
      </c>
      <c r="C37" s="17">
        <f>B37+C36</f>
        <v/>
      </c>
      <c r="D37" s="17">
        <f>C37+D36</f>
        <v/>
      </c>
      <c r="E37" s="17">
        <f>D37+E36</f>
        <v/>
      </c>
      <c r="F37" s="17">
        <f>E37+F36</f>
        <v/>
      </c>
      <c r="G37" s="17">
        <f>F37+G36</f>
        <v/>
      </c>
      <c r="H37" s="17">
        <f>G37+H36</f>
        <v/>
      </c>
      <c r="I37" s="17">
        <f>H37+I36</f>
        <v/>
      </c>
      <c r="J37" s="17">
        <f>I37+J36</f>
        <v/>
      </c>
      <c r="K37" s="17">
        <f>J37+K36</f>
        <v/>
      </c>
      <c r="L37" s="17">
        <f>K37+L36</f>
        <v/>
      </c>
      <c r="M37" s="17">
        <f>L37+M36</f>
        <v/>
      </c>
      <c r="N37" s="17">
        <f>M37+N36</f>
        <v/>
      </c>
      <c r="O37" s="17">
        <f>N37+O36</f>
        <v/>
      </c>
      <c r="P37" s="17">
        <f>O37+P36</f>
        <v/>
      </c>
      <c r="Q37" s="17">
        <f>P37+Q36</f>
        <v/>
      </c>
      <c r="R37" s="17">
        <f>Q37+R36</f>
        <v/>
      </c>
      <c r="S37" s="17">
        <f>R37+S36</f>
        <v/>
      </c>
    </row>
    <row r="39">
      <c r="A39" s="18" t="inlineStr">
        <is>
          <t>Reserve (held — contingency, NOT scheduled)</t>
        </is>
      </c>
      <c r="T39" s="19" t="n">
        <v>300000</v>
      </c>
      <c r="U39" s="9" t="inlineStr">
        <is>
          <t>15% protected reserve — deployed only if needed; disciplined buffer through 2027</t>
        </is>
      </c>
    </row>
    <row r="40">
      <c r="A40" s="20" t="inlineStr">
        <is>
          <t>TOTAL CAPITAL (deployed + reserve)</t>
        </is>
      </c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2">
        <f>T36+300000</f>
        <v/>
      </c>
      <c r="U40" s="21" t="n"/>
    </row>
    <row r="42">
      <c r="A42" s="23" t="inlineStr">
        <is>
          <t>BASKETBALL-CALENDAR LOGIC (drives travel &amp; field timing)</t>
        </is>
      </c>
    </row>
    <row r="43">
      <c r="A43" s="24" t="inlineStr">
        <is>
          <t>Jul–Aug (26 &amp; 27): NCAA live periods (Peach Jam / AAU) — peak agent &amp; recruiting networking; heaviest basketball scouting travel. This is the 'why now' window.</t>
        </is>
      </c>
    </row>
    <row r="44">
      <c r="A44" s="24" t="inlineStr">
        <is>
          <t>Sep–Oct: off-season — AD/president school visits, celebrity procurement, production/sponsor BD groundwork.</t>
        </is>
      </c>
    </row>
    <row r="45">
      <c r="A45" s="24" t="inlineStr">
        <is>
          <t>Nov–Dec: early-season non-conference MTEs &amp; showcases (Feast Week, Diamond Head, etc.) — networking + transfer-talent evaluation; scouting travel spikes.</t>
        </is>
      </c>
    </row>
    <row r="46">
      <c r="A46" s="24" t="inlineStr">
        <is>
          <t>Mar: conference tournaments + March Madness — peak national visibility; celebrity / sponsor / school BD and access fees concentrated here.</t>
        </is>
      </c>
    </row>
    <row r="47">
      <c r="A47" s="24" t="inlineStr">
        <is>
          <t>Apr: transfer-portal window + Final Four — roster building; NIL/contracting legal ramps.</t>
        </is>
      </c>
    </row>
    <row r="48">
      <c r="A48" s="24" t="inlineStr">
        <is>
          <t>SUNJAY / sponsorship side: 'Sales/partnerships (commission)' + 'Sponsor/streaming/production BD' — front-work through 27, commissions paid on closes (back-weighted to H2-27).</t>
        </is>
      </c>
    </row>
    <row r="49">
      <c r="A49" s="24" t="inlineStr">
        <is>
          <t>Reserve ($300K) held unscheduled — deployed only if needed. Deployed spend = $1.2M; total capital $1.5M.</t>
        </is>
      </c>
    </row>
  </sheetData>
  <mergeCells count="9">
    <mergeCell ref="A48:U48"/>
    <mergeCell ref="A43:U43"/>
    <mergeCell ref="A49:U49"/>
    <mergeCell ref="A47:U47"/>
    <mergeCell ref="A42:U42"/>
    <mergeCell ref="A45:U45"/>
    <mergeCell ref="A46:U46"/>
    <mergeCell ref="A44:U44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2026-07-17T02:50:44Z</dcterms:created>
  <dcterms:modified xmlns:dcterms="http://purl.org/dc/terms/" xmlns:xsi="http://www.w3.org/2001/XMLSchema-instance" xsi:type="dcterms:W3CDTF">2026-07-17T02:50:44Z</dcterms:modified>
</cp:coreProperties>
</file>