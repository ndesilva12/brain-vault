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PV Full-Stack P&amp;L" sheetId="3" state="visible" r:id="rId3"/>
    <sheet xmlns:r="http://schemas.openxmlformats.org/officeDocument/2006/relationships" name="Seed Waterf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&quot;x&quot;"/>
  </numFmts>
  <fonts count="14">
    <font>
      <name val="Calibri"/>
      <family val="2"/>
      <color theme="1"/>
      <sz val="11"/>
      <scheme val="minor"/>
    </font>
    <font>
      <name val="Calibri"/>
      <b val="1"/>
      <color rgb="001F3352"/>
      <sz val="14"/>
    </font>
    <font>
      <name val="Calibri"/>
      <i val="1"/>
      <color rgb="008A6D3B"/>
      <sz val="9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i val="1"/>
      <color rgb="00777777"/>
      <sz val="9"/>
    </font>
    <font>
      <name val="Calibri"/>
      <b val="1"/>
      <color rgb="00000000"/>
      <sz val="11"/>
    </font>
    <font>
      <name val="Calibri"/>
      <b val="1"/>
      <color rgb="001E5631"/>
      <sz val="11"/>
    </font>
    <font>
      <name val="Calibri"/>
      <b val="1"/>
      <color rgb="001F3352"/>
      <sz val="11"/>
    </font>
    <font>
      <name val="Calibri"/>
      <i val="1"/>
      <color rgb="008B2E2E"/>
      <sz val="9"/>
    </font>
    <font>
      <name val="Calibri"/>
      <b val="1"/>
      <color rgb="008A6D3B"/>
      <sz val="12"/>
    </font>
    <font>
      <name val="Calibri"/>
      <color rgb="00000000"/>
      <sz val="10"/>
    </font>
    <font>
      <name val="Calibri"/>
      <b val="1"/>
      <color rgb="008B2E2E"/>
      <sz val="12"/>
    </font>
    <font>
      <name val="Calibri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8A6D3B"/>
      </patternFill>
    </fill>
    <fill>
      <patternFill patternType="solid">
        <fgColor rgb="001F3352"/>
      </patternFill>
    </fill>
    <fill>
      <patternFill patternType="solid">
        <fgColor rgb="00F3ECDD"/>
      </patternFill>
    </fill>
    <fill>
      <patternFill patternType="solid">
        <fgColor rgb="00E4EF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CINDERELLA CORP. — BC FULL-STACK MODEL</t>
        </is>
      </c>
    </row>
    <row r="2">
      <c r="A2" s="2" t="inlineStr">
        <is>
          <t>How to use</t>
        </is>
      </c>
    </row>
    <row r="3">
      <c r="A3" s="3" t="inlineStr">
        <is>
          <t>• Change any yellow input cell on the Assumptions tab; every other tab recalculates.</t>
        </is>
      </c>
    </row>
    <row r="4">
      <c r="A4" s="3" t="inlineStr">
        <is>
          <t>• Two scenarios run side by side: BASE (conservative) and REACH (national-hit ceiling).</t>
        </is>
      </c>
    </row>
    <row r="5">
      <c r="A5" s="3" t="inlineStr">
        <is>
          <t>• All figures are $millions, single-season, one SPV (Boston College).</t>
        </is>
      </c>
    </row>
    <row r="6">
      <c r="A6" s="3" t="inlineStr"/>
    </row>
    <row r="7">
      <c r="A7" s="2" t="inlineStr">
        <is>
          <t>Structure</t>
        </is>
      </c>
    </row>
    <row r="8">
      <c r="A8" s="3" t="inlineStr">
        <is>
          <t>• Layer 1 (team commercial): SPV takes 80% of revenue ABOVE the school's ~$4M baseline; school keeps baseline + 20%.</t>
        </is>
      </c>
    </row>
    <row r="9">
      <c r="A9" s="3" t="inlineStr">
        <is>
          <t>• Layer 2 (show &amp; media): 100% SPV. Production is financed separately by EverWonder (recoup +10% off the license),</t>
        </is>
      </c>
    </row>
    <row r="10">
      <c r="A10" s="3" t="inlineStr">
        <is>
          <t xml:space="preserve">   so this layer is high-margin — production is NOT an SPV cost.</t>
        </is>
      </c>
    </row>
    <row r="11">
      <c r="A11" s="3" t="inlineStr">
        <is>
          <t>• Layer 3 (conference): a services fee indexed to BC's ACC merit distribution — NOT a media-rights assignment (compliance).</t>
        </is>
      </c>
    </row>
    <row r="12">
      <c r="A12" s="3" t="inlineStr">
        <is>
          <t>• Parent (Cinderella Corp) takes 40% of SPV profit + a 2% management fee + a one-time franchise fee.</t>
        </is>
      </c>
    </row>
    <row r="13">
      <c r="A13" s="3" t="inlineStr"/>
    </row>
    <row r="14">
      <c r="A14" s="2" t="inlineStr">
        <is>
          <t>NIL structure (important)</t>
        </is>
      </c>
    </row>
    <row r="15">
      <c r="A15" s="3" t="inlineStr">
        <is>
          <t>• Roster/NIL is THIRD-PARTY: the SPV contracts players directly (like a collective). It is UNCAPPED and is NOT</t>
        </is>
      </c>
    </row>
    <row r="16">
      <c r="A16" s="3" t="inlineStr">
        <is>
          <t xml:space="preserve">   routed through the school's House rev-share cap. The school's cap (~$20.5M; ~$3M to men's basketball after football)</t>
        </is>
      </c>
    </row>
    <row r="17">
      <c r="A17" s="3" t="inlineStr">
        <is>
          <t xml:space="preserve">   stays with the school and STACKS on top of our ~$12M -&gt; ~$15M total player comp, ACC-competitive.</t>
        </is>
      </c>
    </row>
    <row r="18">
      <c r="A18" s="3" t="inlineStr">
        <is>
          <t>• The real constraint is NIL Go (Deloitte clearinghouse): any 3rd-party deal &gt;=$600 must clear a 'fair market value' +</t>
        </is>
      </c>
    </row>
    <row r="19">
      <c r="A19" s="3" t="inlineStr">
        <is>
          <t xml:space="preserve">   'valid business purpose' test. Cinderella passes cleanly because the NIL is backed by real commerce (docuseries</t>
        </is>
      </c>
    </row>
    <row r="20">
      <c r="A20" s="3" t="inlineStr">
        <is>
          <t xml:space="preserve">   appearances, sponsor activations, merch, likeness) — where a pure booster collective paying 'to retain' fails.</t>
        </is>
      </c>
    </row>
    <row r="21">
      <c r="A21" s="3" t="inlineStr"/>
    </row>
    <row r="22">
      <c r="A22" s="2" t="inlineStr">
        <is>
          <t>The two headline answers</t>
        </is>
      </c>
    </row>
    <row r="23">
      <c r="A23" s="3" t="inlineStr">
        <is>
          <t>• $30M+ SPV: reached by the SHOW layer, not the gym. Bucket 1 alone caps ~$11-19M to the SPV.</t>
        </is>
      </c>
    </row>
    <row r="24">
      <c r="A24" s="3" t="inlineStr">
        <is>
          <t>• Duke-level ($44.8M): not TEAM revenue in 5 yrs, but ENTERPRISE total is Duke-adjacent (base) to Duke-level (reach)</t>
        </is>
      </c>
    </row>
    <row r="25">
      <c r="A25" s="3" t="inlineStr">
        <is>
          <t xml:space="preserve">   because Duke monetizes zero media layer. Team-medium + media-heavy = Duke total, different engine.</t>
        </is>
      </c>
    </row>
    <row r="26">
      <c r="A26" s="3" t="inlineStr"/>
    </row>
    <row r="27">
      <c r="A27" s="4" t="inlineStr">
        <is>
          <t>Key risk</t>
        </is>
      </c>
    </row>
    <row r="28">
      <c r="A28" s="3" t="inlineStr">
        <is>
          <t>• The delta between Base and Reach is almost entirely Bucket 2 — i.e., does the documentary land nationally?</t>
        </is>
      </c>
    </row>
    <row r="29">
      <c r="A29" s="3" t="inlineStr">
        <is>
          <t xml:space="preserve">  The roster still costs $12-13M regardless. That is the bet.</t>
        </is>
      </c>
    </row>
    <row r="30">
      <c r="A30" s="3" t="inlineStr"/>
    </row>
    <row r="31">
      <c r="A31" s="5" t="inlineStr">
        <is>
          <t>Sources: EADA (BC $8.33M rev / $8.67M exp; Duke $44.8M); ACC ~$45M/school -&gt; $35-65M merit band; Van Wagner MMR; Conte 8,606.</t>
        </is>
      </c>
    </row>
    <row r="32">
      <c r="A32" s="5" t="inlineStr">
        <is>
          <t>NOT financial advice — a planning model with estimated inputs. Verify all figures before external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2" customWidth="1" min="3" max="3"/>
    <col width="12" customWidth="1" min="4" max="4"/>
  </cols>
  <sheetData>
    <row r="1">
      <c r="A1" s="6" t="inlineStr">
        <is>
          <t>CINDERELLA CORP. — BOSTON COLLEGE FULL-STACK MODEL</t>
        </is>
      </c>
    </row>
    <row r="2">
      <c r="A2" s="7" t="inlineStr">
        <is>
          <t>Assumptions &amp; Drivers  ·  all figures in $millions unless noted  ·  single-season SPV  ·  2026-07-23</t>
        </is>
      </c>
    </row>
    <row r="4">
      <c r="A4" s="8" t="inlineStr">
        <is>
          <t>DRIVER</t>
        </is>
      </c>
      <c r="B4" s="8" t="inlineStr">
        <is>
          <t>NOTES</t>
        </is>
      </c>
      <c r="C4" s="9" t="inlineStr">
        <is>
          <t>BASE</t>
        </is>
      </c>
      <c r="D4" s="9" t="inlineStr">
        <is>
          <t>REACH</t>
        </is>
      </c>
    </row>
    <row r="5">
      <c r="A5" s="10" t="inlineStr">
        <is>
          <t>REV-SHARE PARAMETERS</t>
        </is>
      </c>
      <c r="B5" s="10" t="n"/>
      <c r="C5" s="10" t="n"/>
      <c r="D5" s="10" t="n"/>
    </row>
    <row r="6">
      <c r="A6" s="11" t="inlineStr">
        <is>
          <t>Bucket 1 baseline (school keeps 100%)</t>
        </is>
      </c>
      <c r="B6" s="12" t="inlineStr">
        <is>
          <t>current commercial, ex-conference</t>
        </is>
      </c>
      <c r="C6" s="13" t="n">
        <v>4</v>
      </c>
      <c r="D6" s="13" t="n">
        <v>4</v>
      </c>
    </row>
    <row r="7">
      <c r="A7" s="11" t="inlineStr">
        <is>
          <t>SPV share above baseline</t>
        </is>
      </c>
      <c r="B7" s="12" t="inlineStr">
        <is>
          <t>80/20 split</t>
        </is>
      </c>
      <c r="C7" s="14" t="n">
        <v>0.8</v>
      </c>
      <c r="D7" s="14" t="n">
        <v>0.8</v>
      </c>
    </row>
    <row r="8">
      <c r="A8" s="10" t="inlineStr">
        <is>
          <t>LAYER 1 — TEAM COMMERCIAL (with MC)</t>
        </is>
      </c>
      <c r="B8" s="10" t="n"/>
      <c r="C8" s="10" t="n"/>
      <c r="D8" s="10" t="n"/>
    </row>
    <row r="9">
      <c r="A9" s="11" t="inlineStr">
        <is>
          <t>Gate — Conte Forum (8,606)</t>
        </is>
      </c>
      <c r="B9" s="12" t="inlineStr">
        <is>
          <t>revived, premium pricing</t>
        </is>
      </c>
      <c r="C9" s="13" t="n">
        <v>5</v>
      </c>
      <c r="D9" s="13" t="n">
        <v>6</v>
      </c>
    </row>
    <row r="10">
      <c r="A10" s="11" t="inlineStr">
        <is>
          <t>TD Garden marquee games (19,600)</t>
        </is>
      </c>
      <c r="B10" s="12" t="inlineStr">
        <is>
          <t>2–3 games/yr</t>
        </is>
      </c>
      <c r="C10" s="13" t="n">
        <v>2</v>
      </c>
      <c r="D10" s="13" t="n">
        <v>4</v>
      </c>
    </row>
    <row r="11">
      <c r="A11" s="11" t="inlineStr">
        <is>
          <t>MMR + sponsorship</t>
        </is>
      </c>
      <c r="B11" s="12" t="inlineStr">
        <is>
          <t>Van Wagner + MC-originated</t>
        </is>
      </c>
      <c r="C11" s="13" t="n">
        <v>6</v>
      </c>
      <c r="D11" s="13" t="n">
        <v>9</v>
      </c>
    </row>
    <row r="12">
      <c r="A12" s="11" t="inlineStr">
        <is>
          <t>Jersey / practice patch</t>
        </is>
      </c>
      <c r="B12" s="12" t="inlineStr">
        <is>
          <t>new inventory</t>
        </is>
      </c>
      <c r="C12" s="13" t="n">
        <v>1.5</v>
      </c>
      <c r="D12" s="13" t="n">
        <v>3</v>
      </c>
    </row>
    <row r="13">
      <c r="A13" s="11" t="inlineStr">
        <is>
          <t>Premium / suites / hospitality</t>
        </is>
      </c>
      <c r="B13" s="12" t="inlineStr"/>
      <c r="C13" s="13" t="n">
        <v>2</v>
      </c>
      <c r="D13" s="13" t="n">
        <v>3</v>
      </c>
    </row>
    <row r="14">
      <c r="A14" s="11" t="inlineStr">
        <is>
          <t>Conte naming rights</t>
        </is>
      </c>
      <c r="B14" s="12" t="inlineStr">
        <is>
          <t>big-market property</t>
        </is>
      </c>
      <c r="C14" s="13" t="n">
        <v>1.5</v>
      </c>
      <c r="D14" s="13" t="n">
        <v>3</v>
      </c>
    </row>
    <row r="15">
      <c r="A15" s="10" t="inlineStr">
        <is>
          <t>LAYER 2 — SHOW &amp; MEDIA (100% SPV)</t>
        </is>
      </c>
      <c r="B15" s="10" t="n"/>
      <c r="C15" s="10" t="n"/>
      <c r="D15" s="10" t="n"/>
    </row>
    <row r="16">
      <c r="A16" s="11" t="inlineStr">
        <is>
          <t>Streaming license (6 hrs)</t>
        </is>
      </c>
      <c r="B16" s="12" t="inlineStr">
        <is>
          <t>$1M/hr base, $2M/hr reach</t>
        </is>
      </c>
      <c r="C16" s="13" t="n">
        <v>6</v>
      </c>
      <c r="D16" s="13" t="n">
        <v>12</v>
      </c>
    </row>
    <row r="17">
      <c r="A17" s="11" t="inlineStr">
        <is>
          <t>Presenting / title sponsor</t>
        </is>
      </c>
      <c r="B17" s="12" t="inlineStr">
        <is>
          <t>'presented by'</t>
        </is>
      </c>
      <c r="C17" s="13" t="n">
        <v>4</v>
      </c>
      <c r="D17" s="13" t="n">
        <v>8</v>
      </c>
    </row>
    <row r="18">
      <c r="A18" s="11" t="inlineStr">
        <is>
          <t>Official partners (3–5 tiers)</t>
        </is>
      </c>
      <c r="B18" s="12" t="inlineStr"/>
      <c r="C18" s="13" t="n">
        <v>3</v>
      </c>
      <c r="D18" s="13" t="n">
        <v>6</v>
      </c>
    </row>
    <row r="19">
      <c r="A19" s="11" t="inlineStr">
        <is>
          <t>Product placement / integration</t>
        </is>
      </c>
      <c r="B19" s="12" t="inlineStr"/>
      <c r="C19" s="13" t="n">
        <v>1</v>
      </c>
      <c r="D19" s="13" t="n">
        <v>2</v>
      </c>
    </row>
    <row r="20">
      <c r="A20" s="11" t="inlineStr">
        <is>
          <t>Live-game streaming</t>
        </is>
      </c>
      <c r="B20" s="12" t="inlineStr">
        <is>
          <t>DTC / international</t>
        </is>
      </c>
      <c r="C20" s="13" t="n">
        <v>1</v>
      </c>
      <c r="D20" s="13" t="n">
        <v>3</v>
      </c>
    </row>
    <row r="21">
      <c r="A21" s="11" t="inlineStr">
        <is>
          <t>Content network (podcast/social/BTS)</t>
        </is>
      </c>
      <c r="B21" s="12" t="inlineStr"/>
      <c r="C21" s="13" t="n">
        <v>1.5</v>
      </c>
      <c r="D21" s="13" t="n">
        <v>4</v>
      </c>
    </row>
    <row r="22">
      <c r="A22" s="11" t="inlineStr">
        <is>
          <t>Merch / D2C</t>
        </is>
      </c>
      <c r="B22" s="12" t="inlineStr"/>
      <c r="C22" s="13" t="n">
        <v>1.5</v>
      </c>
      <c r="D22" s="13" t="n">
        <v>4</v>
      </c>
    </row>
    <row r="23">
      <c r="A23" s="11" t="inlineStr">
        <is>
          <t>(less) Production recoup</t>
        </is>
      </c>
      <c r="B23" s="12" t="inlineStr">
        <is>
          <t>EverWonder cost +10%, off license</t>
        </is>
      </c>
      <c r="C23" s="13" t="n">
        <v>4</v>
      </c>
      <c r="D23" s="13" t="n">
        <v>7</v>
      </c>
    </row>
    <row r="24">
      <c r="A24" s="10" t="inlineStr">
        <is>
          <t>LAYER 3 — CONFERENCE</t>
        </is>
      </c>
      <c r="B24" s="10" t="n"/>
      <c r="C24" s="10" t="n"/>
      <c r="D24" s="10" t="n"/>
    </row>
    <row r="25">
      <c r="A25" s="11" t="inlineStr">
        <is>
          <t>Conference success fee (services)</t>
        </is>
      </c>
      <c r="B25" s="12" t="inlineStr">
        <is>
          <t>ACC-merit indexed, from gen. funds</t>
        </is>
      </c>
      <c r="C25" s="13" t="n">
        <v>1.5</v>
      </c>
      <c r="D25" s="13" t="n">
        <v>3</v>
      </c>
    </row>
    <row r="26">
      <c r="A26" s="10" t="inlineStr">
        <is>
          <t>SPV COSTS</t>
        </is>
      </c>
      <c r="B26" s="10" t="n"/>
      <c r="C26" s="10" t="n"/>
      <c r="D26" s="10" t="n"/>
    </row>
    <row r="27">
      <c r="A27" s="11" t="inlineStr">
        <is>
          <t>Roster / NIL (third-party, via SPV)</t>
        </is>
      </c>
      <c r="B27" s="12" t="inlineStr">
        <is>
          <t>uncapped; ON TOP of school's ~$3M cap; NIL Go FMV-vetted</t>
        </is>
      </c>
      <c r="C27" s="13" t="n">
        <v>12</v>
      </c>
      <c r="D27" s="13" t="n">
        <v>13</v>
      </c>
    </row>
    <row r="28">
      <c r="A28" s="11" t="inlineStr">
        <is>
          <t>SPV operating costs</t>
        </is>
      </c>
      <c r="B28" s="12" t="inlineStr">
        <is>
          <t>ops / staff / on-site</t>
        </is>
      </c>
      <c r="C28" s="13" t="n">
        <v>1.5</v>
      </c>
      <c r="D28" s="13" t="n">
        <v>2</v>
      </c>
    </row>
    <row r="29">
      <c r="A29" s="10" t="inlineStr">
        <is>
          <t>PARENT / STRUCTURE</t>
        </is>
      </c>
      <c r="B29" s="10" t="n"/>
      <c r="C29" s="10" t="n"/>
      <c r="D29" s="10" t="n"/>
    </row>
    <row r="30">
      <c r="A30" s="11" t="inlineStr">
        <is>
          <t>Parent equity in SPV</t>
        </is>
      </c>
      <c r="B30" s="12" t="inlineStr"/>
      <c r="C30" s="14" t="n">
        <v>0.4</v>
      </c>
      <c r="D30" s="14" t="n">
        <v>0.4</v>
      </c>
    </row>
    <row r="31">
      <c r="A31" s="11" t="inlineStr">
        <is>
          <t>Management fee (% of SPV revenue)</t>
        </is>
      </c>
      <c r="B31" s="12" t="inlineStr"/>
      <c r="C31" s="14" t="n">
        <v>0.02</v>
      </c>
      <c r="D31" s="14" t="n">
        <v>0.02</v>
      </c>
    </row>
    <row r="32">
      <c r="A32" s="11" t="inlineStr">
        <is>
          <t>Franchise fee (one-time)</t>
        </is>
      </c>
      <c r="B32" s="12" t="inlineStr"/>
      <c r="C32" s="13" t="n">
        <v>1.5</v>
      </c>
      <c r="D32" s="13" t="n">
        <v>1.5</v>
      </c>
    </row>
    <row r="33">
      <c r="A33" s="10" t="inlineStr">
        <is>
          <t>SEED WATERFALL (parent-level)</t>
        </is>
      </c>
      <c r="B33" s="10" t="n"/>
      <c r="C33" s="10" t="n"/>
      <c r="D33" s="10" t="n"/>
    </row>
    <row r="34">
      <c r="A34" s="11" t="inlineStr">
        <is>
          <t>Seed raised</t>
        </is>
      </c>
      <c r="B34" s="12" t="inlineStr">
        <is>
          <t>Ankur / Tabor</t>
        </is>
      </c>
      <c r="C34" s="13" t="n">
        <v>1.5</v>
      </c>
      <c r="D34" s="13" t="n">
        <v>1.5</v>
      </c>
    </row>
    <row r="35">
      <c r="A35" s="11" t="inlineStr">
        <is>
          <t>Tier 1 rate — to 1x</t>
        </is>
      </c>
      <c r="B35" s="12" t="inlineStr">
        <is>
          <t>of gross</t>
        </is>
      </c>
      <c r="C35" s="14" t="n">
        <v>0.5</v>
      </c>
      <c r="D35" s="14" t="n">
        <v>0.5</v>
      </c>
    </row>
    <row r="36">
      <c r="A36" s="11" t="inlineStr">
        <is>
          <t>Tier 2 rate — 1x to 2x</t>
        </is>
      </c>
      <c r="B36" s="12" t="inlineStr">
        <is>
          <t>of gross</t>
        </is>
      </c>
      <c r="C36" s="14" t="n">
        <v>0.1</v>
      </c>
      <c r="D36" s="14" t="n">
        <v>0.1</v>
      </c>
    </row>
    <row r="37">
      <c r="A37" s="11" t="inlineStr">
        <is>
          <t>Tier 3 rate — after 2x</t>
        </is>
      </c>
      <c r="B37" s="12" t="inlineStr">
        <is>
          <t>of gross</t>
        </is>
      </c>
      <c r="C37" s="14" t="n">
        <v>0.15</v>
      </c>
      <c r="D37" s="1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30" customWidth="1" min="4" max="4"/>
  </cols>
  <sheetData>
    <row r="1">
      <c r="A1" s="6" t="inlineStr">
        <is>
          <t>SPV FULL-STACK P&amp;L — BOSTON COLLEGE (single season)</t>
        </is>
      </c>
    </row>
    <row r="2">
      <c r="A2" s="7" t="inlineStr">
        <is>
          <t>live — driven by the Assumptions tab  ·  $millions</t>
        </is>
      </c>
    </row>
    <row r="4">
      <c r="A4" s="8" t="inlineStr">
        <is>
          <t>LINE</t>
        </is>
      </c>
      <c r="B4" s="9" t="inlineStr">
        <is>
          <t>BASE</t>
        </is>
      </c>
      <c r="C4" s="9" t="inlineStr">
        <is>
          <t>REACH</t>
        </is>
      </c>
      <c r="D4" s="8" t="inlineStr">
        <is>
          <t>NOTE</t>
        </is>
      </c>
    </row>
    <row r="5">
      <c r="A5" s="10" t="inlineStr">
        <is>
          <t>LAYER 1 — TEAM COMMERCIAL (Bucket 1, rev-shared)</t>
        </is>
      </c>
      <c r="B5" s="10" t="n"/>
      <c r="C5" s="10" t="n"/>
      <c r="D5" s="10" t="n"/>
    </row>
    <row r="6">
      <c r="A6" s="15" t="inlineStr">
        <is>
          <t>Bucket 1 total (with MC)</t>
        </is>
      </c>
      <c r="B6" s="16">
        <f>Assumptions!C9+Assumptions!C10+Assumptions!C11+Assumptions!C12+Assumptions!C13+Assumptions!C14</f>
        <v/>
      </c>
      <c r="C6" s="16">
        <f>Assumptions!D9+Assumptions!D10+Assumptions!D11+Assumptions!D12+Assumptions!D13+Assumptions!D14</f>
        <v/>
      </c>
      <c r="D6" s="12" t="inlineStr">
        <is>
          <t>sum of team properties</t>
        </is>
      </c>
    </row>
    <row r="7">
      <c r="A7" s="11" t="inlineStr">
        <is>
          <t>less: baseline (school keeps 100%)</t>
        </is>
      </c>
      <c r="B7" s="17">
        <f>-Assumptions!C6</f>
        <v/>
      </c>
      <c r="C7" s="17">
        <f>-Assumptions!D6</f>
        <v/>
      </c>
      <c r="D7" s="12" t="inlineStr">
        <is>
          <t>current commercial</t>
        </is>
      </c>
    </row>
    <row r="8">
      <c r="A8" s="15">
        <f> Incremental revenue above baseline</f>
        <v/>
      </c>
      <c r="B8" s="16">
        <f>B6+B7</f>
        <v/>
      </c>
      <c r="C8" s="16">
        <f>C6+C7</f>
        <v/>
      </c>
      <c r="D8" s="12" t="inlineStr">
        <is>
          <t>what the split applies to</t>
        </is>
      </c>
    </row>
    <row r="9">
      <c r="A9" s="18" t="inlineStr">
        <is>
          <t>SPV take — Layer 1 (80% of increment)</t>
        </is>
      </c>
      <c r="B9" s="19">
        <f>B8*Assumptions!C7</f>
        <v/>
      </c>
      <c r="C9" s="19">
        <f>C8*Assumptions!D7</f>
        <v/>
      </c>
      <c r="D9" s="20" t="inlineStr">
        <is>
          <t>school keeps baseline + 20%</t>
        </is>
      </c>
    </row>
    <row r="10">
      <c r="A10" s="10" t="inlineStr">
        <is>
          <t>LAYER 2 — SHOW &amp; MEDIA (Bucket 2, 100% SPV)</t>
        </is>
      </c>
      <c r="B10" s="10" t="n"/>
      <c r="C10" s="10" t="n"/>
      <c r="D10" s="10" t="n"/>
    </row>
    <row r="11">
      <c r="A11" s="15" t="inlineStr">
        <is>
          <t>Bucket 2 gross</t>
        </is>
      </c>
      <c r="B11" s="16">
        <f>Assumptions!C16+Assumptions!C17+Assumptions!C18+Assumptions!C19+Assumptions!C20+Assumptions!C21+Assumptions!C22</f>
        <v/>
      </c>
      <c r="C11" s="16">
        <f>Assumptions!D16+Assumptions!D17+Assumptions!D18+Assumptions!D19+Assumptions!D20+Assumptions!D21+Assumptions!D22</f>
        <v/>
      </c>
      <c r="D11" s="12" t="inlineStr">
        <is>
          <t>all show/media lines</t>
        </is>
      </c>
    </row>
    <row r="12">
      <c r="A12" s="11" t="inlineStr">
        <is>
          <t>less: production recoup</t>
        </is>
      </c>
      <c r="B12" s="17">
        <f>-Assumptions!C23</f>
        <v/>
      </c>
      <c r="C12" s="17">
        <f>-Assumptions!D23</f>
        <v/>
      </c>
      <c r="D12" s="12" t="inlineStr">
        <is>
          <t>EverWonder financed separately</t>
        </is>
      </c>
    </row>
    <row r="13">
      <c r="A13" s="18" t="inlineStr">
        <is>
          <t>SPV take — Layer 2 (net, 100%)</t>
        </is>
      </c>
      <c r="B13" s="19">
        <f>B11+B12</f>
        <v/>
      </c>
      <c r="C13" s="19">
        <f>C11+C12</f>
        <v/>
      </c>
      <c r="D13" s="20" t="inlineStr">
        <is>
          <t>high-margin: production not an SPV cost</t>
        </is>
      </c>
    </row>
    <row r="14">
      <c r="A14" s="10" t="inlineStr">
        <is>
          <t>LAYER 3 — CONFERENCE</t>
        </is>
      </c>
      <c r="B14" s="10" t="n"/>
      <c r="C14" s="10" t="n"/>
      <c r="D14" s="10" t="n"/>
    </row>
    <row r="15">
      <c r="A15" s="18" t="inlineStr">
        <is>
          <t>SPV take — Layer 3 (success fee)</t>
        </is>
      </c>
      <c r="B15" s="19">
        <f>Assumptions!C25</f>
        <v/>
      </c>
      <c r="C15" s="19">
        <f>Assumptions!D25</f>
        <v/>
      </c>
      <c r="D15" s="20" t="inlineStr">
        <is>
          <t>services fee, not media-rights</t>
        </is>
      </c>
    </row>
    <row r="16">
      <c r="A16" s="10" t="inlineStr">
        <is>
          <t>SPV REVENUE</t>
        </is>
      </c>
      <c r="B16" s="10" t="n"/>
      <c r="C16" s="10" t="n"/>
      <c r="D16" s="10" t="n"/>
    </row>
    <row r="17">
      <c r="A17" s="10" t="inlineStr">
        <is>
          <t>TOTAL SPV REVENUE</t>
        </is>
      </c>
      <c r="B17" s="21">
        <f>B9+B13+B15</f>
        <v/>
      </c>
      <c r="C17" s="21">
        <f>C9+C13+C15</f>
        <v/>
      </c>
      <c r="D17" s="22" t="inlineStr">
        <is>
          <t>all three layers</t>
        </is>
      </c>
    </row>
    <row r="18">
      <c r="A18" s="10" t="inlineStr">
        <is>
          <t>SPV COSTS</t>
        </is>
      </c>
      <c r="B18" s="10" t="n"/>
      <c r="C18" s="10" t="n"/>
      <c r="D18" s="10" t="n"/>
    </row>
    <row r="19">
      <c r="A19" s="11" t="inlineStr">
        <is>
          <t>Roster / NIL</t>
        </is>
      </c>
      <c r="B19" s="17">
        <f>-Assumptions!C27</f>
        <v/>
      </c>
      <c r="C19" s="17">
        <f>-Assumptions!D27</f>
        <v/>
      </c>
      <c r="D19" s="12" t="inlineStr">
        <is>
          <t>3rd-party NIL, uncapped; on top of school cap</t>
        </is>
      </c>
    </row>
    <row r="20">
      <c r="A20" s="11" t="inlineStr">
        <is>
          <t>SPV operating costs</t>
        </is>
      </c>
      <c r="B20" s="17">
        <f>-Assumptions!C28</f>
        <v/>
      </c>
      <c r="C20" s="17">
        <f>-Assumptions!D28</f>
        <v/>
      </c>
      <c r="D20" s="12" t="inlineStr"/>
    </row>
    <row r="21">
      <c r="A21" s="11" t="inlineStr">
        <is>
          <t>Management fee (to parent)</t>
        </is>
      </c>
      <c r="B21" s="17">
        <f>-Assumptions!C31*B17</f>
        <v/>
      </c>
      <c r="C21" s="17">
        <f>-Assumptions!D31*C17</f>
        <v/>
      </c>
      <c r="D21" s="12" t="inlineStr">
        <is>
          <t>2% of SPV revenue</t>
        </is>
      </c>
    </row>
    <row r="22">
      <c r="A22" s="15" t="inlineStr">
        <is>
          <t>Total SPV costs</t>
        </is>
      </c>
      <c r="B22" s="16">
        <f>B19+B20+B21</f>
        <v/>
      </c>
      <c r="C22" s="16">
        <f>C19+C20+C21</f>
        <v/>
      </c>
      <c r="D22" s="12" t="inlineStr"/>
    </row>
    <row r="23">
      <c r="A23" s="10" t="inlineStr">
        <is>
          <t>SPV PROFIT &amp; DISTRIBUTION</t>
        </is>
      </c>
      <c r="B23" s="10" t="n"/>
      <c r="C23" s="10" t="n"/>
      <c r="D23" s="10" t="n"/>
    </row>
    <row r="24">
      <c r="A24" s="10" t="inlineStr">
        <is>
          <t>SPV PROFIT (pre-equity split)</t>
        </is>
      </c>
      <c r="B24" s="21">
        <f>B17+B22</f>
        <v/>
      </c>
      <c r="C24" s="21">
        <f>C17+C22</f>
        <v/>
      </c>
      <c r="D24" s="22" t="inlineStr">
        <is>
          <t>revenue less all costs</t>
        </is>
      </c>
    </row>
    <row r="25">
      <c r="A25" s="11" t="inlineStr">
        <is>
          <t>Parent equity share (40% of profit)</t>
        </is>
      </c>
      <c r="B25" s="17">
        <f>B24*Assumptions!C30</f>
        <v/>
      </c>
      <c r="C25" s="17">
        <f>C24*Assumptions!D30</f>
        <v/>
      </c>
      <c r="D25" s="12" t="inlineStr"/>
    </row>
    <row r="26">
      <c r="A26" s="11" t="inlineStr">
        <is>
          <t>Other SPV investors (60% of profit)</t>
        </is>
      </c>
      <c r="B26" s="17">
        <f>B24*(1-Assumptions!C30)</f>
        <v/>
      </c>
      <c r="C26" s="17">
        <f>C24*(1-Assumptions!D30)</f>
        <v/>
      </c>
      <c r="D26" s="12" t="inlineStr"/>
    </row>
    <row r="27">
      <c r="A27" s="23" t="inlineStr">
        <is>
          <t>PARENT TOTAL TAKE  (40% + mgmt fee + franchise fee)</t>
        </is>
      </c>
      <c r="B27" s="24">
        <f>B25+Assumptions!C31*B17+Assumptions!C32</f>
        <v/>
      </c>
      <c r="C27" s="24">
        <f>C25+Assumptions!D31*C17+Assumptions!D32</f>
        <v/>
      </c>
      <c r="D27" s="25" t="inlineStr">
        <is>
          <t>flows to Cinderella Corp</t>
        </is>
      </c>
    </row>
    <row r="28">
      <c r="A28" s="10" t="inlineStr">
        <is>
          <t>MEMO — SCHOOL (BC) ECONOMICS</t>
        </is>
      </c>
      <c r="B28" s="10" t="n"/>
      <c r="C28" s="10" t="n"/>
      <c r="D28" s="10" t="n"/>
    </row>
    <row r="29">
      <c r="A29" s="15" t="inlineStr">
        <is>
          <t>BC keeps: baseline + 20% of increment</t>
        </is>
      </c>
      <c r="B29" s="16">
        <f>Assumptions!C6+B8*(1-Assumptions!C7)</f>
        <v/>
      </c>
      <c r="C29" s="16">
        <f>Assumptions!D6+C8*(1-Assumptions!D7)</f>
        <v/>
      </c>
      <c r="D29" s="12" t="inlineStr">
        <is>
          <t>up from ~$4M, fronting nothing</t>
        </is>
      </c>
    </row>
    <row r="30">
      <c r="A30" s="11" t="inlineStr">
        <is>
          <t>BC uplift vs current baseline (x)</t>
        </is>
      </c>
      <c r="B30" s="26">
        <f>B29/Assumptions!C6</f>
        <v/>
      </c>
      <c r="C30" s="26">
        <f>C29/Assumptions!D6</f>
        <v/>
      </c>
      <c r="D30" s="12" t="inlineStr">
        <is>
          <t>multiple of today</t>
        </is>
      </c>
    </row>
    <row r="31">
      <c r="A31" s="10" t="inlineStr">
        <is>
          <t>BENCHMARK</t>
        </is>
      </c>
      <c r="B31" s="10" t="n"/>
      <c r="C31" s="10" t="n"/>
      <c r="D31" s="10" t="n"/>
    </row>
    <row r="32">
      <c r="A32" s="11" t="inlineStr">
        <is>
          <t>Duke men's basketball revenue (2023-24)</t>
        </is>
      </c>
      <c r="B32" s="17" t="n">
        <v>44.8</v>
      </c>
      <c r="C32" s="17" t="n">
        <v>44.8</v>
      </c>
      <c r="D32" s="12" t="inlineStr">
        <is>
          <t>EADA #1 in nation</t>
        </is>
      </c>
    </row>
    <row r="33">
      <c r="A33" s="15" t="inlineStr">
        <is>
          <t>Cinderella-BC enterprise total (team+show)</t>
        </is>
      </c>
      <c r="B33" s="16">
        <f>B6+B11+B12+B15</f>
        <v/>
      </c>
      <c r="C33" s="16">
        <f>C6+C11+C12+C15</f>
        <v/>
      </c>
      <c r="D33" s="12" t="inlineStr">
        <is>
          <t>all revenue the venture touches</t>
        </is>
      </c>
    </row>
    <row r="34">
      <c r="A34" s="23" t="inlineStr">
        <is>
          <t>% of Duke (enterprise basis)</t>
        </is>
      </c>
      <c r="B34" s="27">
        <f>B33/B32</f>
        <v/>
      </c>
      <c r="C34" s="27">
        <f>C33/C32</f>
        <v/>
      </c>
      <c r="D34" s="25" t="inlineStr">
        <is>
          <t>team-medium + media-heavy = Duke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30" customWidth="1" min="4" max="4"/>
  </cols>
  <sheetData>
    <row r="1">
      <c r="A1" s="6" t="inlineStr">
        <is>
          <t>SEED WATERFALL — parent distribution (single-SPV illustration)</t>
        </is>
      </c>
    </row>
    <row r="2">
      <c r="A2" s="7" t="inlineStr">
        <is>
          <t>50% of gross to 1x, then 10% to 2x, then 15%  ·  applied to Parent Total Take  ·  $M</t>
        </is>
      </c>
    </row>
    <row r="3">
      <c r="A3" s="28" t="inlineStr">
        <is>
          <t>Note: real waterfall is CUMULATIVE across all SPVs &amp; years — see capital-deployment workbook. This shows one BC season as if first money in.</t>
        </is>
      </c>
    </row>
    <row r="5">
      <c r="A5" s="8" t="inlineStr">
        <is>
          <t>LINE</t>
        </is>
      </c>
      <c r="B5" s="9" t="inlineStr">
        <is>
          <t>BASE</t>
        </is>
      </c>
      <c r="C5" s="9" t="inlineStr">
        <is>
          <t>REACH</t>
        </is>
      </c>
      <c r="D5" s="8" t="inlineStr">
        <is>
          <t>NOTE</t>
        </is>
      </c>
    </row>
    <row r="6">
      <c r="A6" s="15" t="inlineStr">
        <is>
          <t>Parent Total Take (gross into waterfall)</t>
        </is>
      </c>
      <c r="B6" s="16">
        <f>'SPV Full-Stack P&amp;L'!B27</f>
        <v/>
      </c>
      <c r="C6" s="16">
        <f>'SPV Full-Stack P&amp;L'!C27</f>
        <v/>
      </c>
      <c r="D6" s="12" t="inlineStr">
        <is>
          <t>from P&amp;L</t>
        </is>
      </c>
    </row>
    <row r="7">
      <c r="A7" s="11" t="inlineStr">
        <is>
          <t>Gross needed to return 1x</t>
        </is>
      </c>
      <c r="B7" s="17">
        <f>(Assumptions!C34/Assumptions!C35)</f>
        <v/>
      </c>
      <c r="C7" s="17">
        <f>(Assumptions!D34/Assumptions!D35)</f>
        <v/>
      </c>
      <c r="D7" s="12" t="inlineStr">
        <is>
          <t>at 50% rate</t>
        </is>
      </c>
    </row>
    <row r="8">
      <c r="A8" s="11" t="inlineStr">
        <is>
          <t>Cumulative gross to reach 2x</t>
        </is>
      </c>
      <c r="B8" s="17">
        <f>(Assumptions!C34/Assumptions!C35+Assumptions!C34/Assumptions!C36)</f>
        <v/>
      </c>
      <c r="C8" s="17">
        <f>(Assumptions!D34/Assumptions!D35+Assumptions!D34/Assumptions!D36)</f>
        <v/>
      </c>
      <c r="D8" s="12" t="inlineStr">
        <is>
          <t>add 10% band</t>
        </is>
      </c>
    </row>
    <row r="9">
      <c r="A9" s="18" t="inlineStr">
        <is>
          <t>Seed investors receive (this period)</t>
        </is>
      </c>
      <c r="B9" s="19">
        <f>Assumptions!C35*MIN(B6,(Assumptions!C34/Assumptions!C35))+Assumptions!C36*MIN(MAX(B6-(Assumptions!C34/Assumptions!C35),0),Assumptions!C34/Assumptions!C36)+Assumptions!C37*MAX(B6-(Assumptions!C34/Assumptions!C35+Assumptions!C34/Assumptions!C36),0)</f>
        <v/>
      </c>
      <c r="C9" s="19">
        <f>Assumptions!D35*MIN(C6,(Assumptions!D34/Assumptions!D35))+Assumptions!D36*MIN(MAX(C6-(Assumptions!D34/Assumptions!D35),0),Assumptions!D34/Assumptions!D36)+Assumptions!D37*MAX(C6-(Assumptions!D34/Assumptions!D35+Assumptions!D34/Assumptions!D36),0)</f>
        <v/>
      </c>
      <c r="D9" s="20" t="inlineStr">
        <is>
          <t>50/10/15 of gross</t>
        </is>
      </c>
    </row>
    <row r="10">
      <c r="A10" s="15" t="inlineStr">
        <is>
          <t>Seed cumulative MOIC (this period)</t>
        </is>
      </c>
      <c r="B10" s="29">
        <f>B9/Assumptions!C34</f>
        <v/>
      </c>
      <c r="C10" s="29">
        <f>C9/Assumptions!D34</f>
        <v/>
      </c>
      <c r="D10" s="12" t="inlineStr">
        <is>
          <t>x of $1.5M</t>
        </is>
      </c>
    </row>
    <row r="11">
      <c r="A11" s="23" t="inlineStr">
        <is>
          <t>Parent retains (after seed)</t>
        </is>
      </c>
      <c r="B11" s="24">
        <f>B6-B9</f>
        <v/>
      </c>
      <c r="C11" s="24">
        <f>C6-C9</f>
        <v/>
      </c>
      <c r="D11" s="25" t="inlineStr">
        <is>
          <t>to Cinderella Corp / founder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2026-07-23T04:26:41Z</dcterms:created>
  <dcterms:modified xmlns:dcterms="http://purl.org/dc/terms/" xmlns:xsi="http://www.w3.org/2001/XMLSchema-instance" xsi:type="dcterms:W3CDTF">2026-07-23T04:26:41Z</dcterms:modified>
</cp:coreProperties>
</file>