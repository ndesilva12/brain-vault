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t="inlineStr">
        <is>
          <t xml:space="preserve">   Collective / NIL donor contributions</t>
        </is>
      </c>
      <c r="B44" s="7" t="n">
        <v>90</v>
      </c>
      <c r="C44" s="8" t="n">
        <v>700</v>
      </c>
      <c r="D44" s="7" t="n">
        <v>1200</v>
      </c>
      <c r="E44" s="7" t="n">
        <v>150</v>
      </c>
      <c r="F44" s="8" t="n">
        <v>890</v>
      </c>
      <c r="G44" s="7" t="n">
        <v>1500</v>
      </c>
      <c r="H44" s="7" t="n">
        <v>80</v>
      </c>
      <c r="I44" s="8" t="n">
        <v>590</v>
      </c>
      <c r="J44" s="7" t="n">
        <v>1000</v>
      </c>
    </row>
    <row r="45">
      <c r="A45" s="9" t="inlineStr">
        <is>
          <t xml:space="preserve">   Subtotal — Philanthropy &amp; donor</t>
        </is>
      </c>
      <c r="B45" s="10">
        <f>SUM(B40:B44)</f>
        <v/>
      </c>
      <c r="C45" s="10">
        <f>SUM(C40:C44)</f>
        <v/>
      </c>
      <c r="D45" s="10">
        <f>SUM(D40:D44)</f>
        <v/>
      </c>
      <c r="E45" s="10">
        <f>SUM(E40:E44)</f>
        <v/>
      </c>
      <c r="F45" s="10">
        <f>SUM(F40:F44)</f>
        <v/>
      </c>
      <c r="G45" s="10">
        <f>SUM(G40:G44)</f>
        <v/>
      </c>
      <c r="H45" s="10">
        <f>SUM(H40:H44)</f>
        <v/>
      </c>
      <c r="I45" s="10">
        <f>SUM(I40:I44)</f>
        <v/>
      </c>
      <c r="J45" s="10">
        <f>SUM(J40:J44)</f>
        <v/>
      </c>
    </row>
    <row r="47">
      <c r="A47" s="5" t="inlineStr">
        <is>
          <t>Apparel &amp; licensing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t="inlineStr">
        <is>
          <t xml:space="preserve">   Shoe/apparel contract (cash + product)</t>
        </is>
      </c>
      <c r="B48" s="7" t="n">
        <v>200</v>
      </c>
      <c r="C48" s="8" t="n">
        <v>200</v>
      </c>
      <c r="D48" s="7" t="n">
        <v>200</v>
      </c>
      <c r="E48" s="7" t="n">
        <v>300</v>
      </c>
      <c r="F48" s="8" t="n">
        <v>300</v>
      </c>
      <c r="G48" s="7" t="n">
        <v>300</v>
      </c>
      <c r="H48" s="7" t="n">
        <v>150</v>
      </c>
      <c r="I48" s="8" t="n">
        <v>150</v>
      </c>
      <c r="J48" s="7" t="n">
        <v>150</v>
      </c>
    </row>
    <row r="49">
      <c r="A49" t="inlineStr">
        <is>
          <t xml:space="preserve">   Trademark / logo licensing royalties</t>
        </is>
      </c>
      <c r="B49" s="7" t="n">
        <v>10</v>
      </c>
      <c r="C49" s="8" t="n">
        <v>240</v>
      </c>
      <c r="D49" s="7" t="n">
        <v>400</v>
      </c>
      <c r="E49" s="7" t="n">
        <v>20</v>
      </c>
      <c r="F49" s="8" t="n">
        <v>370</v>
      </c>
      <c r="G49" s="7" t="n">
        <v>600</v>
      </c>
      <c r="H49" s="7" t="n">
        <v>10</v>
      </c>
      <c r="I49" s="8" t="n">
        <v>180</v>
      </c>
      <c r="J49" s="7" t="n">
        <v>300</v>
      </c>
    </row>
    <row r="50">
      <c r="A50" t="inlineStr">
        <is>
          <t xml:space="preserve">   Team retail merchandise sales</t>
        </is>
      </c>
      <c r="B50" s="7" t="n">
        <v>30</v>
      </c>
      <c r="C50" s="8" t="n">
        <v>490</v>
      </c>
      <c r="D50" s="7" t="n">
        <v>800</v>
      </c>
      <c r="E50" s="7" t="n">
        <v>40</v>
      </c>
      <c r="F50" s="8" t="n">
        <v>620</v>
      </c>
      <c r="G50" s="7" t="n">
        <v>1000</v>
      </c>
      <c r="H50" s="7" t="n">
        <v>40</v>
      </c>
      <c r="I50" s="8" t="n">
        <v>380</v>
      </c>
      <c r="J50" s="7" t="n">
        <v>600</v>
      </c>
    </row>
    <row r="51">
      <c r="A51" t="inlineStr">
        <is>
          <t xml:space="preserve">   Video-game / EA royalties</t>
        </is>
      </c>
      <c r="B51" s="7" t="n">
        <v>10</v>
      </c>
      <c r="C51" s="8" t="n">
        <v>60</v>
      </c>
      <c r="D51" s="7" t="n">
        <v>100</v>
      </c>
      <c r="E51" s="7" t="n">
        <v>10</v>
      </c>
      <c r="F51" s="8" t="n">
        <v>90</v>
      </c>
      <c r="G51" s="7" t="n">
        <v>150</v>
      </c>
      <c r="H51" s="7" t="n">
        <v>10</v>
      </c>
      <c r="I51" s="8" t="n">
        <v>50</v>
      </c>
      <c r="J51" s="7" t="n">
        <v>80</v>
      </c>
    </row>
    <row r="52">
      <c r="A52" s="9" t="inlineStr">
        <is>
          <t xml:space="preserve">   Subtotal — Apparel &amp; licensing</t>
        </is>
      </c>
      <c r="B52" s="10">
        <f>SUM(B48:B51)</f>
        <v/>
      </c>
      <c r="C52" s="10">
        <f>SUM(C48:C51)</f>
        <v/>
      </c>
      <c r="D52" s="10">
        <f>SUM(D48:D51)</f>
        <v/>
      </c>
      <c r="E52" s="10">
        <f>SUM(E48:E51)</f>
        <v/>
      </c>
      <c r="F52" s="10">
        <f>SUM(F48:F51)</f>
        <v/>
      </c>
      <c r="G52" s="10">
        <f>SUM(G48:G51)</f>
        <v/>
      </c>
      <c r="H52" s="10">
        <f>SUM(H48:H51)</f>
        <v/>
      </c>
      <c r="I52" s="10">
        <f>SUM(I48:I51)</f>
        <v/>
      </c>
      <c r="J52" s="10">
        <f>SUM(J48:J51)</f>
        <v/>
      </c>
    </row>
    <row r="54">
      <c r="A54" s="5" t="inlineStr">
        <is>
          <t>Guarantees &amp; scheduling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t="inlineStr">
        <is>
          <t xml:space="preserve">   Guarantee ('buy') game income</t>
        </is>
      </c>
      <c r="B55" s="7" t="n">
        <v>90</v>
      </c>
      <c r="C55" s="8" t="n">
        <v>410</v>
      </c>
      <c r="D55" s="7" t="n">
        <v>600</v>
      </c>
      <c r="E55" s="7" t="n">
        <v>90</v>
      </c>
      <c r="F55" s="8" t="n">
        <v>410</v>
      </c>
      <c r="G55" s="7" t="n">
        <v>600</v>
      </c>
      <c r="H55" s="7" t="n">
        <v>120</v>
      </c>
      <c r="I55" s="8" t="n">
        <v>360</v>
      </c>
      <c r="J55" s="7" t="n">
        <v>500</v>
      </c>
    </row>
    <row r="56">
      <c r="A56" t="inlineStr">
        <is>
          <t xml:space="preserve">   Neutral-site / MTE appearance fees</t>
        </is>
      </c>
      <c r="B56" s="7" t="n">
        <v>30</v>
      </c>
      <c r="C56" s="8" t="n">
        <v>510</v>
      </c>
      <c r="D56" s="7" t="n">
        <v>800</v>
      </c>
      <c r="E56" s="7" t="n">
        <v>40</v>
      </c>
      <c r="F56" s="8" t="n">
        <v>570</v>
      </c>
      <c r="G56" s="7" t="n">
        <v>900</v>
      </c>
      <c r="H56" s="7" t="n">
        <v>90</v>
      </c>
      <c r="I56" s="8" t="n">
        <v>470</v>
      </c>
      <c r="J56" s="7" t="n">
        <v>700</v>
      </c>
    </row>
    <row r="57">
      <c r="A57" t="inlineStr">
        <is>
          <t xml:space="preserve">   Early-season / holiday tournament payouts</t>
        </is>
      </c>
      <c r="B57" s="7" t="n">
        <v>20</v>
      </c>
      <c r="C57" s="8" t="n">
        <v>260</v>
      </c>
      <c r="D57" s="7" t="n">
        <v>400</v>
      </c>
      <c r="E57" s="7" t="n">
        <v>30</v>
      </c>
      <c r="F57" s="8" t="n">
        <v>320</v>
      </c>
      <c r="G57" s="7" t="n">
        <v>500</v>
      </c>
      <c r="H57" s="7" t="n">
        <v>40</v>
      </c>
      <c r="I57" s="8" t="n">
        <v>260</v>
      </c>
      <c r="J57" s="7" t="n">
        <v>400</v>
      </c>
    </row>
    <row r="58">
      <c r="A58" t="inlineStr">
        <is>
          <t xml:space="preserve">   Exhibition / charity game revenue</t>
        </is>
      </c>
      <c r="B58" s="7" t="n">
        <v>10</v>
      </c>
      <c r="C58" s="8" t="n">
        <v>70</v>
      </c>
      <c r="D58" s="7" t="n">
        <v>100</v>
      </c>
      <c r="E58" s="7" t="n">
        <v>10</v>
      </c>
      <c r="F58" s="8" t="n">
        <v>80</v>
      </c>
      <c r="G58" s="7" t="n">
        <v>120</v>
      </c>
      <c r="H58" s="7" t="n">
        <v>10</v>
      </c>
      <c r="I58" s="8" t="n">
        <v>50</v>
      </c>
      <c r="J58" s="7" t="n">
        <v>80</v>
      </c>
    </row>
    <row r="59">
      <c r="A59" s="9" t="inlineStr">
        <is>
          <t xml:space="preserve">   Subtotal — Guarantees &amp; scheduling</t>
        </is>
      </c>
      <c r="B59" s="10">
        <f>SUM(B55:B58)</f>
        <v/>
      </c>
      <c r="C59" s="10">
        <f>SUM(C55:C58)</f>
        <v/>
      </c>
      <c r="D59" s="10">
        <f>SUM(D55:D58)</f>
        <v/>
      </c>
      <c r="E59" s="10">
        <f>SUM(E55:E58)</f>
        <v/>
      </c>
      <c r="F59" s="10">
        <f>SUM(F55:F58)</f>
        <v/>
      </c>
      <c r="G59" s="10">
        <f>SUM(G55:G58)</f>
        <v/>
      </c>
      <c r="H59" s="10">
        <f>SUM(H55:H58)</f>
        <v/>
      </c>
      <c r="I59" s="10">
        <f>SUM(I55:I58)</f>
        <v/>
      </c>
      <c r="J59" s="10">
        <f>SUM(J55:J58)</f>
        <v/>
      </c>
    </row>
    <row r="61">
      <c r="A61" s="5" t="inlineStr">
        <is>
          <t>Camps, clinics &amp; operations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t="inlineStr">
        <is>
          <t xml:space="preserve">   Basketball camps &amp; clinics revenue</t>
        </is>
      </c>
      <c r="B62" s="7" t="n">
        <v>40</v>
      </c>
      <c r="C62" s="8" t="n">
        <v>270</v>
      </c>
      <c r="D62" s="7" t="n">
        <v>400</v>
      </c>
      <c r="E62" s="7" t="n">
        <v>60</v>
      </c>
      <c r="F62" s="8" t="n">
        <v>350</v>
      </c>
      <c r="G62" s="7" t="n">
        <v>500</v>
      </c>
      <c r="H62" s="7" t="n">
        <v>40</v>
      </c>
      <c r="I62" s="8" t="n">
        <v>240</v>
      </c>
      <c r="J62" s="7" t="n">
        <v>350</v>
      </c>
    </row>
    <row r="63">
      <c r="A63" t="inlineStr">
        <is>
          <t xml:space="preserve">   Coach's camps</t>
        </is>
      </c>
      <c r="B63" s="7" t="n">
        <v>20</v>
      </c>
      <c r="C63" s="8" t="n">
        <v>140</v>
      </c>
      <c r="D63" s="7" t="n">
        <v>200</v>
      </c>
      <c r="E63" s="7" t="n">
        <v>30</v>
      </c>
      <c r="F63" s="8" t="n">
        <v>170</v>
      </c>
      <c r="G63" s="7" t="n">
        <v>250</v>
      </c>
      <c r="H63" s="7" t="n">
        <v>20</v>
      </c>
      <c r="I63" s="8" t="n">
        <v>100</v>
      </c>
      <c r="J63" s="7" t="n">
        <v>150</v>
      </c>
    </row>
    <row r="64">
      <c r="A64" t="inlineStr">
        <is>
          <t xml:space="preserve">   Facility rentals (MBB-allocated)</t>
        </is>
      </c>
      <c r="B64" s="7" t="n">
        <v>20</v>
      </c>
      <c r="C64" s="8" t="n">
        <v>100</v>
      </c>
      <c r="D64" s="7" t="n">
        <v>150</v>
      </c>
      <c r="E64" s="7" t="n">
        <v>20</v>
      </c>
      <c r="F64" s="8" t="n">
        <v>120</v>
      </c>
      <c r="G64" s="7" t="n">
        <v>180</v>
      </c>
      <c r="H64" s="7" t="n">
        <v>30</v>
      </c>
      <c r="I64" s="8" t="n">
        <v>170</v>
      </c>
      <c r="J64" s="7" t="n">
        <v>250</v>
      </c>
    </row>
    <row r="65">
      <c r="A65" s="9" t="inlineStr">
        <is>
          <t xml:space="preserve">   Subtotal — Camps, clinics &amp; operations</t>
        </is>
      </c>
      <c r="B65" s="10">
        <f>SUM(B62:B64)</f>
        <v/>
      </c>
      <c r="C65" s="10">
        <f>SUM(C62:C64)</f>
        <v/>
      </c>
      <c r="D65" s="10">
        <f>SUM(D62:D64)</f>
        <v/>
      </c>
      <c r="E65" s="10">
        <f>SUM(E62:E64)</f>
        <v/>
      </c>
      <c r="F65" s="10">
        <f>SUM(F62:F64)</f>
        <v/>
      </c>
      <c r="G65" s="10">
        <f>SUM(G62:G64)</f>
        <v/>
      </c>
      <c r="H65" s="10">
        <f>SUM(H62:H64)</f>
        <v/>
      </c>
      <c r="I65" s="10">
        <f>SUM(I62:I64)</f>
        <v/>
      </c>
      <c r="J65" s="10">
        <f>SUM(J62:J64)</f>
        <v/>
      </c>
    </row>
    <row r="67">
      <c r="A67" s="5" t="inlineStr">
        <is>
          <t>Institutional &amp; other support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t="inlineStr">
        <is>
          <t xml:space="preserve">   Direct institutional / university support</t>
        </is>
      </c>
      <c r="B68" s="7" t="n">
        <v>240</v>
      </c>
      <c r="C68" s="8" t="n">
        <v>320</v>
      </c>
      <c r="D68" s="7" t="n">
        <v>400</v>
      </c>
      <c r="E68" s="7" t="n">
        <v>180</v>
      </c>
      <c r="F68" s="8" t="n">
        <v>240</v>
      </c>
      <c r="G68" s="7" t="n">
        <v>300</v>
      </c>
      <c r="H68" s="7" t="n">
        <v>360</v>
      </c>
      <c r="I68" s="8" t="n">
        <v>530</v>
      </c>
      <c r="J68" s="7" t="n">
        <v>700</v>
      </c>
    </row>
    <row r="69">
      <c r="A69" t="inlineStr">
        <is>
          <t xml:space="preserve">   Student-fee allocation</t>
        </is>
      </c>
      <c r="B69" s="7" t="n">
        <v>60</v>
      </c>
      <c r="C69" s="8" t="n">
        <v>80</v>
      </c>
      <c r="D69" s="7" t="n">
        <v>100</v>
      </c>
      <c r="E69" s="7" t="n">
        <v>30</v>
      </c>
      <c r="F69" s="8" t="n">
        <v>40</v>
      </c>
      <c r="G69" s="7" t="n">
        <v>50</v>
      </c>
      <c r="H69" s="7" t="n">
        <v>180</v>
      </c>
      <c r="I69" s="8" t="n">
        <v>290</v>
      </c>
      <c r="J69" s="7" t="n">
        <v>400</v>
      </c>
    </row>
    <row r="70">
      <c r="A70" t="inlineStr">
        <is>
          <t xml:space="preserve">   Direct state / government support</t>
        </is>
      </c>
      <c r="B70" s="7" t="n">
        <v>0</v>
      </c>
      <c r="C70" s="8" t="n">
        <v>0</v>
      </c>
      <c r="D70" s="7" t="n">
        <v>0</v>
      </c>
      <c r="E70" s="7" t="n">
        <v>0</v>
      </c>
      <c r="F70" s="8" t="n">
        <v>0</v>
      </c>
      <c r="G70" s="7" t="n">
        <v>0</v>
      </c>
      <c r="H70" s="7" t="n">
        <v>240</v>
      </c>
      <c r="I70" s="8" t="n">
        <v>420</v>
      </c>
      <c r="J70" s="7" t="n">
        <v>600</v>
      </c>
    </row>
    <row r="71">
      <c r="A71" t="inlineStr">
        <is>
          <t xml:space="preserve">   Athletics endowment / investment income</t>
        </is>
      </c>
      <c r="B71" s="7" t="n">
        <v>30</v>
      </c>
      <c r="C71" s="8" t="n">
        <v>90</v>
      </c>
      <c r="D71" s="7" t="n">
        <v>150</v>
      </c>
      <c r="E71" s="7" t="n">
        <v>90</v>
      </c>
      <c r="F71" s="8" t="n">
        <v>240</v>
      </c>
      <c r="G71" s="7" t="n">
        <v>400</v>
      </c>
      <c r="H71" s="7" t="n">
        <v>20</v>
      </c>
      <c r="I71" s="8" t="n">
        <v>50</v>
      </c>
      <c r="J71" s="7" t="n">
        <v>80</v>
      </c>
    </row>
    <row r="72">
      <c r="A72" t="inlineStr">
        <is>
          <t xml:space="preserve">   Third-party in-kind &amp; third-party-paid comp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80</v>
      </c>
      <c r="G72" s="7" t="n">
        <v>150</v>
      </c>
      <c r="H72" s="7" t="n">
        <v>20</v>
      </c>
      <c r="I72" s="8" t="n">
        <v>70</v>
      </c>
      <c r="J72" s="7" t="n">
        <v>120</v>
      </c>
    </row>
    <row r="73">
      <c r="A73" t="inlineStr">
        <is>
          <t xml:space="preserve">   Other / misc operating revenue</t>
        </is>
      </c>
      <c r="B73" s="7" t="n">
        <v>20</v>
      </c>
      <c r="C73" s="8" t="n">
        <v>60</v>
      </c>
      <c r="D73" s="7" t="n">
        <v>100</v>
      </c>
      <c r="E73" s="7" t="n">
        <v>20</v>
      </c>
      <c r="F73" s="8" t="n">
        <v>70</v>
      </c>
      <c r="G73" s="7" t="n">
        <v>120</v>
      </c>
      <c r="H73" s="7" t="n">
        <v>20</v>
      </c>
      <c r="I73" s="8" t="n">
        <v>60</v>
      </c>
      <c r="J73" s="7" t="n">
        <v>100</v>
      </c>
    </row>
    <row r="74">
      <c r="A74" s="9" t="inlineStr">
        <is>
          <t xml:space="preserve">   Subtotal — Institutional &amp; other support</t>
        </is>
      </c>
      <c r="B74" s="10">
        <f>SUM(B68:B73)</f>
        <v/>
      </c>
      <c r="C74" s="10">
        <f>SUM(C68:C73)</f>
        <v/>
      </c>
      <c r="D74" s="10">
        <f>SUM(D68:D73)</f>
        <v/>
      </c>
      <c r="E74" s="10">
        <f>SUM(E68:E73)</f>
        <v/>
      </c>
      <c r="F74" s="10">
        <f>SUM(F68:F73)</f>
        <v/>
      </c>
      <c r="G74" s="10">
        <f>SUM(G68:G73)</f>
        <v/>
      </c>
      <c r="H74" s="10">
        <f>SUM(H68:H73)</f>
        <v/>
      </c>
      <c r="I74" s="10">
        <f>SUM(I68:I73)</f>
        <v/>
      </c>
      <c r="J74" s="10">
        <f>SUM(J68:J73)</f>
        <v/>
      </c>
    </row>
    <row r="76">
      <c r="A76" s="5" t="inlineStr">
        <is>
          <t>NIL / rev-share era  (memo — NOT program revenue; see per-line notes)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>
      <c r="A77" t="inlineStr">
        <is>
          <t xml:space="preserve">   Third-party athlete NIL income (memo — athletes' own $, not SPV rev/cost)</t>
        </is>
      </c>
      <c r="B77" s="7" t="n">
        <v>30</v>
      </c>
      <c r="C77" s="8" t="n">
        <v>990</v>
      </c>
      <c r="D77" s="7" t="n">
        <v>1500</v>
      </c>
      <c r="E77" s="7" t="n">
        <v>40</v>
      </c>
      <c r="F77" s="8" t="n">
        <v>1310</v>
      </c>
      <c r="G77" s="7" t="n">
        <v>2000</v>
      </c>
      <c r="H77" s="7" t="n">
        <v>20</v>
      </c>
      <c r="I77" s="8" t="n">
        <v>660</v>
      </c>
      <c r="J77" s="7" t="n">
        <v>1000</v>
      </c>
    </row>
    <row r="78">
      <c r="A78" t="inlineStr">
        <is>
          <t xml:space="preserve">   Athlete marketing / activation (SPV-produced = Bucket 2)</t>
        </is>
      </c>
      <c r="B78" s="7" t="n">
        <v>20</v>
      </c>
      <c r="C78" s="8" t="n">
        <v>530</v>
      </c>
      <c r="D78" s="7" t="n">
        <v>800</v>
      </c>
      <c r="E78" s="7" t="n">
        <v>30</v>
      </c>
      <c r="F78" s="8" t="n">
        <v>660</v>
      </c>
      <c r="G78" s="7" t="n">
        <v>1000</v>
      </c>
      <c r="H78" s="7" t="n">
        <v>10</v>
      </c>
      <c r="I78" s="8" t="n">
        <v>390</v>
      </c>
      <c r="J78" s="7" t="n">
        <v>600</v>
      </c>
    </row>
    <row r="79">
      <c r="A79" t="inlineStr">
        <is>
          <t xml:space="preserve">   House-settlement rev-share pool (SPV-funded roster COST)</t>
        </is>
      </c>
      <c r="B79" s="7" t="n">
        <v>0</v>
      </c>
      <c r="C79" s="8" t="n">
        <v>1620</v>
      </c>
      <c r="D79" s="7" t="n">
        <v>2500</v>
      </c>
      <c r="E79" s="7" t="n">
        <v>0</v>
      </c>
      <c r="F79" s="8" t="n">
        <v>1620</v>
      </c>
      <c r="G79" s="7" t="n">
        <v>2500</v>
      </c>
      <c r="H79" s="7" t="n">
        <v>0</v>
      </c>
      <c r="I79" s="8" t="n">
        <v>1620</v>
      </c>
      <c r="J79" s="7" t="n">
        <v>2500</v>
      </c>
    </row>
    <row r="80">
      <c r="A80" s="9" t="inlineStr">
        <is>
          <t xml:space="preserve">   Subtotal — NIL / rev-share era</t>
        </is>
      </c>
      <c r="B80" s="10">
        <f>SUM(B77:B79)</f>
        <v/>
      </c>
      <c r="C80" s="10">
        <f>SUM(C77:C79)</f>
        <v/>
      </c>
      <c r="D80" s="10">
        <f>SUM(D77:D79)</f>
        <v/>
      </c>
      <c r="E80" s="10">
        <f>SUM(E77:E79)</f>
        <v/>
      </c>
      <c r="F80" s="10">
        <f>SUM(F77:F79)</f>
        <v/>
      </c>
      <c r="G80" s="10">
        <f>SUM(G77:G79)</f>
        <v/>
      </c>
      <c r="H80" s="10">
        <f>SUM(H77:H79)</f>
        <v/>
      </c>
      <c r="I80" s="10">
        <f>SUM(I77:I79)</f>
        <v/>
      </c>
      <c r="J80" s="10">
        <f>SUM(J77:J79)</f>
        <v/>
      </c>
    </row>
    <row r="82">
      <c r="A82" s="11" t="inlineStr">
        <is>
          <t>PROGRAM REVENUE  (categories 1–9, excl. NIL)  = the total baseline</t>
        </is>
      </c>
      <c r="B82" s="12">
        <f>B12+B19+B26+B37+B45+B52+B59+B65+B74</f>
        <v/>
      </c>
      <c r="C82" s="12">
        <f>C12+C19+C26+C37+C45+C52+C59+C65+C74</f>
        <v/>
      </c>
      <c r="D82" s="12">
        <f>D12+D19+D26+D37+D45+D52+D59+D65+D74</f>
        <v/>
      </c>
      <c r="E82" s="12">
        <f>E12+E19+E26+E37+E45+E52+E59+E65+E74</f>
        <v/>
      </c>
      <c r="F82" s="12">
        <f>F12+F19+F26+F37+F45+F52+F59+F65+F74</f>
        <v/>
      </c>
      <c r="G82" s="12">
        <f>G12+G19+G26+G37+G45+G52+G59+G65+G74</f>
        <v/>
      </c>
      <c r="H82" s="12">
        <f>H12+H19+H26+H37+H45+H52+H59+H65+H74</f>
        <v/>
      </c>
      <c r="I82" s="12">
        <f>I12+I19+I26+I37+I45+I52+I59+I65+I74</f>
        <v/>
      </c>
      <c r="J82" s="12">
        <f>J12+J19+J26+J37+J45+J52+J59+J65+J74</f>
        <v/>
      </c>
    </row>
    <row r="83">
      <c r="A83" s="13" t="inlineStr">
        <is>
          <t>NIL / rev-share funding  (memo — SPV-funded cost)</t>
        </is>
      </c>
      <c r="B83" s="14">
        <f>B80</f>
        <v/>
      </c>
      <c r="C83" s="14">
        <f>C80</f>
        <v/>
      </c>
      <c r="D83" s="14">
        <f>D80</f>
        <v/>
      </c>
      <c r="E83" s="14">
        <f>E80</f>
        <v/>
      </c>
      <c r="F83" s="14">
        <f>F80</f>
        <v/>
      </c>
      <c r="G83" s="14">
        <f>G80</f>
        <v/>
      </c>
      <c r="H83" s="14">
        <f>H80</f>
        <v/>
      </c>
      <c r="I83" s="14">
        <f>I80</f>
        <v/>
      </c>
      <c r="J83" s="14">
        <f>J80</f>
        <v/>
      </c>
    </row>
    <row r="85">
      <c r="A85" s="15" t="inlineStr">
        <is>
          <t>SPV ECONOMICS  (Bucket 1 above baseline, 80/20; baseline = total current revenue, one lump)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26" customHeight="1">
      <c r="A86" s="17" t="inlineStr"/>
      <c r="B86" s="17" t="inlineStr">
        <is>
          <t>Baseline (total curr.)</t>
        </is>
      </c>
      <c r="C86" s="17" t="inlineStr">
        <is>
          <t>Bucket 1 Base w/MC</t>
        </is>
      </c>
      <c r="D86" s="17" t="inlineStr">
        <is>
          <t>Bucket 1 Reach w/MC</t>
        </is>
      </c>
      <c r="E86" s="17" t="inlineStr">
        <is>
          <t>SPV 80% Base</t>
        </is>
      </c>
      <c r="F86" s="17" t="inlineStr">
        <is>
          <t>SPV 80% Reach</t>
        </is>
      </c>
      <c r="G86" s="17" t="inlineStr">
        <is>
          <t>School keeps Base</t>
        </is>
      </c>
      <c r="H86" s="17" t="inlineStr">
        <is>
          <t>School keeps Reach</t>
        </is>
      </c>
      <c r="I86" s="17" t="inlineStr"/>
      <c r="J86" s="17" t="inlineStr"/>
    </row>
    <row r="87">
      <c r="A87" s="18" t="inlineStr">
        <is>
          <t>St. Joseph's</t>
        </is>
      </c>
      <c r="B87" s="19">
        <f>B82</f>
        <v/>
      </c>
      <c r="C87" s="19">
        <f>C12+C19+C37+C52+C59+C65</f>
        <v/>
      </c>
      <c r="D87" s="19">
        <f>D12+D19+D37+D52+D59+D65</f>
        <v/>
      </c>
      <c r="E87" s="20">
        <f>0.8*(C87-B87)</f>
        <v/>
      </c>
      <c r="F87" s="21">
        <f>0.8*(D87-B87)</f>
        <v/>
      </c>
      <c r="G87" s="19">
        <f>B87+0.2*(C87-B87)</f>
        <v/>
      </c>
      <c r="H87" s="19">
        <f>B87+0.2*(D87-B87)</f>
        <v/>
      </c>
    </row>
    <row r="88">
      <c r="A88" s="18" t="inlineStr">
        <is>
          <t>Davidson</t>
        </is>
      </c>
      <c r="B88" s="19">
        <f>E82</f>
        <v/>
      </c>
      <c r="C88" s="19">
        <f>F12+F19+F37+F52+F59+F65</f>
        <v/>
      </c>
      <c r="D88" s="19">
        <f>G12+G19+G37+G52+G59+G65</f>
        <v/>
      </c>
      <c r="E88" s="20">
        <f>0.8*(C88-B88)</f>
        <v/>
      </c>
      <c r="F88" s="21">
        <f>0.8*(D88-B88)</f>
        <v/>
      </c>
      <c r="G88" s="19">
        <f>B88+0.2*(C88-B88)</f>
        <v/>
      </c>
      <c r="H88" s="19">
        <f>B88+0.2*(D88-B88)</f>
        <v/>
      </c>
    </row>
    <row r="89">
      <c r="A89" s="18" t="inlineStr">
        <is>
          <t>Hawaii</t>
        </is>
      </c>
      <c r="B89" s="19">
        <f>H82</f>
        <v/>
      </c>
      <c r="C89" s="19">
        <f>I12+I19+I37+I52+I59+I65</f>
        <v/>
      </c>
      <c r="D89" s="19">
        <f>J12+J19+J37+J52+J59+J65</f>
        <v/>
      </c>
      <c r="E89" s="20">
        <f>0.8*(C89-B89)</f>
        <v/>
      </c>
      <c r="F89" s="21">
        <f>0.8*(D89-B89)</f>
        <v/>
      </c>
      <c r="G89" s="19">
        <f>B89+0.2*(C89-B89)</f>
        <v/>
      </c>
      <c r="H89" s="19">
        <f>B89+0.2*(D89-B89)</f>
        <v/>
      </c>
    </row>
    <row r="91">
      <c r="A91" s="22" t="inlineStr">
        <is>
          <t>NOTES</t>
        </is>
      </c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</row>
    <row r="92">
      <c r="A92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3">
      <c r="A93" s="24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94">
      <c r="A94" s="24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95">
      <c r="A95" s="24" t="inlineStr">
        <is>
          <t>Postseason gate: conf tournament &amp; NCAA tournament ticket revenue goes to the CONFERENCE / NCAA, not the school — line reduced to a small allotment margin only.</t>
        </is>
      </c>
    </row>
    <row r="96">
      <c r="A96" s="24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7">
      <c r="A97" s="24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8">
      <c r="A98" s="24" t="inlineStr">
        <is>
          <t>Apparel shoe contract held FLAT — multi-year locked deal, no mid-term jump (renewal upside later). Licensing/merch/retail still grow (flexible).</t>
        </is>
      </c>
    </row>
    <row r="99">
      <c r="A99" s="24" t="inlineStr">
        <is>
          <t>NIL memo lines are NOT program revenue: (1) third-party athlete NIL income = athletes' own earnings (a recruiting benefit, not SPV rev/cost); (2) athlete marketing/activation = SPV-produced Bucket 2; (3) House rev-share pool = SPV-funded roster COST.</t>
        </is>
      </c>
    </row>
    <row r="100">
      <c r="A100" s="24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101">
      <c r="A101" s="24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99:J99"/>
    <mergeCell ref="A1:J1"/>
    <mergeCell ref="E2:G2"/>
    <mergeCell ref="A93:J93"/>
    <mergeCell ref="A94:J94"/>
    <mergeCell ref="A97:J97"/>
    <mergeCell ref="A100:J100"/>
    <mergeCell ref="A92:J92"/>
    <mergeCell ref="A95:J95"/>
    <mergeCell ref="A96:J96"/>
    <mergeCell ref="H2:J2"/>
    <mergeCell ref="A101:J101"/>
    <mergeCell ref="A98:J9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9" t="n">
        <v>3200</v>
      </c>
      <c r="C4" s="19" t="n">
        <v>5000</v>
      </c>
      <c r="D4" s="25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9" t="n">
        <v>1500</v>
      </c>
      <c r="C5" s="19" t="n">
        <v>5000</v>
      </c>
      <c r="D5" s="25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9" t="n">
        <v>2100</v>
      </c>
      <c r="C6" s="19" t="n">
        <v>4000</v>
      </c>
      <c r="D6" s="25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9" t="n">
        <v>3000</v>
      </c>
      <c r="C7" s="19" t="n">
        <v>8000</v>
      </c>
      <c r="D7" s="25" t="inlineStr">
        <is>
          <t>on-screen/in-documentary sponsor; SPV IP, not school MMR</t>
        </is>
      </c>
    </row>
    <row r="8">
      <c r="A8" t="inlineStr">
        <is>
          <t xml:space="preserve">   Content engine / athlete marketing &amp; activation</t>
        </is>
      </c>
      <c r="B8" s="19" t="n">
        <v>500</v>
      </c>
      <c r="C8" s="19" t="n">
        <v>1500</v>
      </c>
      <c r="D8" s="25" t="inlineStr">
        <is>
          <t>SPV-produced branded content; players' NIL contracted</t>
        </is>
      </c>
    </row>
    <row r="9">
      <c r="A9" s="26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5" t="inlineStr">
        <is>
          <t>FULL SPV PICTURE — single season  (Bucket 1 share + Bucket 2 − $15M SPV cost)</t>
        </is>
      </c>
      <c r="B11" s="16" t="n"/>
      <c r="C11" s="16" t="n"/>
      <c r="D11" s="16" t="n"/>
      <c r="E11" s="16" t="n"/>
    </row>
    <row r="12">
      <c r="A12" s="17" t="inlineStr">
        <is>
          <t>School</t>
        </is>
      </c>
      <c r="B12" s="17" t="inlineStr">
        <is>
          <t>Bkt1 SPV Base</t>
        </is>
      </c>
      <c r="C12" s="17" t="inlineStr">
        <is>
          <t>+ Bkt2 Base</t>
        </is>
      </c>
      <c r="D12" s="17" t="inlineStr">
        <is>
          <t>− SPV cost</t>
        </is>
      </c>
      <c r="E12" s="17">
        <f> SPV net Base</f>
        <v/>
      </c>
    </row>
    <row r="13">
      <c r="A13" s="18" t="inlineStr">
        <is>
          <t>St. Joseph's</t>
        </is>
      </c>
      <c r="B13" s="19">
        <f>'Three-School Projection'!E87</f>
        <v/>
      </c>
      <c r="C13" s="19">
        <f>B9</f>
        <v/>
      </c>
      <c r="D13" s="19" t="n">
        <v>-15000</v>
      </c>
      <c r="E13" s="21">
        <f>B13+C13+D13</f>
        <v/>
      </c>
    </row>
    <row r="14">
      <c r="A14" s="18" t="inlineStr">
        <is>
          <t>Davidson</t>
        </is>
      </c>
      <c r="B14" s="19">
        <f>'Three-School Projection'!E88</f>
        <v/>
      </c>
      <c r="C14" s="19">
        <f>B9</f>
        <v/>
      </c>
      <c r="D14" s="19" t="n">
        <v>-15000</v>
      </c>
      <c r="E14" s="21">
        <f>B14+C14+D14</f>
        <v/>
      </c>
    </row>
    <row r="15">
      <c r="A15" s="18" t="inlineStr">
        <is>
          <t>Hawaii</t>
        </is>
      </c>
      <c r="B15" s="19">
        <f>'Three-School Projection'!E89</f>
        <v/>
      </c>
      <c r="C15" s="19">
        <f>B9</f>
        <v/>
      </c>
      <c r="D15" s="19" t="n">
        <v>-15000</v>
      </c>
      <c r="E15" s="21">
        <f>B15+C15+D15</f>
        <v/>
      </c>
    </row>
    <row r="17">
      <c r="A17" s="17" t="inlineStr">
        <is>
          <t>School</t>
        </is>
      </c>
      <c r="B17" s="17" t="inlineStr">
        <is>
          <t>Bkt1 SPV Reach</t>
        </is>
      </c>
      <c r="C17" s="17" t="inlineStr">
        <is>
          <t>+ Bkt2 Reach</t>
        </is>
      </c>
      <c r="D17" s="17" t="inlineStr">
        <is>
          <t>− SPV cost</t>
        </is>
      </c>
      <c r="E17" s="17">
        <f> SPV net Reach</f>
        <v/>
      </c>
    </row>
    <row r="18">
      <c r="A18" s="18" t="inlineStr">
        <is>
          <t>St. Joseph's</t>
        </is>
      </c>
      <c r="B18" s="19">
        <f>'Three-School Projection'!F87</f>
        <v/>
      </c>
      <c r="C18" s="19">
        <f>C9</f>
        <v/>
      </c>
      <c r="D18" s="19" t="n">
        <v>-15000</v>
      </c>
      <c r="E18" s="21">
        <f>B18+C18+D18</f>
        <v/>
      </c>
    </row>
    <row r="19">
      <c r="A19" s="18" t="inlineStr">
        <is>
          <t>Davidson</t>
        </is>
      </c>
      <c r="B19" s="19">
        <f>'Three-School Projection'!F88</f>
        <v/>
      </c>
      <c r="C19" s="19">
        <f>C9</f>
        <v/>
      </c>
      <c r="D19" s="19" t="n">
        <v>-15000</v>
      </c>
      <c r="E19" s="21">
        <f>B19+C19+D19</f>
        <v/>
      </c>
    </row>
    <row r="20">
      <c r="A20" s="18" t="inlineStr">
        <is>
          <t>Hawaii</t>
        </is>
      </c>
      <c r="B20" s="19">
        <f>'Three-School Projection'!F89</f>
        <v/>
      </c>
      <c r="C20" s="19">
        <f>C9</f>
        <v/>
      </c>
      <c r="D20" s="19" t="n">
        <v>-15000</v>
      </c>
      <c r="E20" s="21">
        <f>B20+C20+D20</f>
        <v/>
      </c>
    </row>
    <row r="22">
      <c r="A22" s="24" t="inlineStr">
        <is>
          <t>Bucket 2 is 100% SPV and never touches the school sheet or the 80/20 split.</t>
        </is>
      </c>
    </row>
    <row r="23">
      <c r="A23" s="24" t="inlineStr">
        <is>
          <t>Series &amp; live-game costs are already netted in their lines (EverWonder finances production, recoups cost+10%). The $15M SPV cost = roster/NIL + ops.</t>
        </is>
      </c>
    </row>
    <row r="24">
      <c r="A24" s="24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4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2026-07-16T04:17:15Z</dcterms:created>
  <dcterms:modified xmlns:dcterms="http://purl.org/dc/terms/" xmlns:xsi="http://www.w3.org/2001/XMLSchema-instance" xsi:type="dcterms:W3CDTF">2026-07-16T04:17:15Z</dcterms:modified>
</cp:coreProperties>
</file>