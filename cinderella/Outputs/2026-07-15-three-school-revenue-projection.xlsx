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180</v>
      </c>
      <c r="C39" s="8" t="n">
        <v>740</v>
      </c>
      <c r="D39" s="7" t="n">
        <v>1200</v>
      </c>
      <c r="E39" s="7" t="n">
        <v>270</v>
      </c>
      <c r="F39" s="8" t="n">
        <v>1110</v>
      </c>
      <c r="G39" s="7" t="n">
        <v>1800</v>
      </c>
      <c r="H39" s="7" t="n">
        <v>150</v>
      </c>
      <c r="I39" s="8" t="n">
        <v>620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90</v>
      </c>
      <c r="C40" s="8" t="n">
        <v>480</v>
      </c>
      <c r="D40" s="7" t="n">
        <v>800</v>
      </c>
      <c r="E40" s="7" t="n">
        <v>150</v>
      </c>
      <c r="F40" s="8" t="n">
        <v>730</v>
      </c>
      <c r="G40" s="7" t="n">
        <v>1200</v>
      </c>
      <c r="H40" s="7" t="n">
        <v>60</v>
      </c>
      <c r="I40" s="8" t="n">
        <v>410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60</v>
      </c>
      <c r="C41" s="8" t="n">
        <v>580</v>
      </c>
      <c r="D41" s="7" t="n">
        <v>1000</v>
      </c>
      <c r="E41" s="7" t="n">
        <v>120</v>
      </c>
      <c r="F41" s="8" t="n">
        <v>880</v>
      </c>
      <c r="G41" s="7" t="n">
        <v>1500</v>
      </c>
      <c r="H41" s="7" t="n">
        <v>40</v>
      </c>
      <c r="I41" s="8" t="n">
        <v>510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30</v>
      </c>
      <c r="C42" s="8" t="n">
        <v>230</v>
      </c>
      <c r="D42" s="7" t="n">
        <v>400</v>
      </c>
      <c r="E42" s="7" t="n">
        <v>60</v>
      </c>
      <c r="F42" s="8" t="n">
        <v>410</v>
      </c>
      <c r="G42" s="7" t="n">
        <v>700</v>
      </c>
      <c r="H42" s="7" t="n">
        <v>30</v>
      </c>
      <c r="I42" s="8" t="n">
        <v>290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90</v>
      </c>
      <c r="C43" s="8" t="n">
        <v>700</v>
      </c>
      <c r="D43" s="7" t="n">
        <v>1200</v>
      </c>
      <c r="E43" s="7" t="n">
        <v>150</v>
      </c>
      <c r="F43" s="8" t="n">
        <v>890</v>
      </c>
      <c r="G43" s="7" t="n">
        <v>1500</v>
      </c>
      <c r="H43" s="7" t="n">
        <v>80</v>
      </c>
      <c r="I43" s="8" t="n">
        <v>590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rev-share era  (memo — NOT program revenue; see per-line notes)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Third-party athlete NIL income (memo — athletes' own $, not SPV rev/cost)</t>
        </is>
      </c>
      <c r="B76" s="7" t="n">
        <v>30</v>
      </c>
      <c r="C76" s="8" t="n">
        <v>990</v>
      </c>
      <c r="D76" s="7" t="n">
        <v>1500</v>
      </c>
      <c r="E76" s="7" t="n">
        <v>40</v>
      </c>
      <c r="F76" s="8" t="n">
        <v>1310</v>
      </c>
      <c r="G76" s="7" t="n">
        <v>2000</v>
      </c>
      <c r="H76" s="7" t="n">
        <v>20</v>
      </c>
      <c r="I76" s="8" t="n">
        <v>660</v>
      </c>
      <c r="J76" s="7" t="n">
        <v>1000</v>
      </c>
    </row>
    <row r="77">
      <c r="A77" t="inlineStr">
        <is>
          <t xml:space="preserve">   Athlete marketing / activation (SPV-produced = Bucket 2)</t>
        </is>
      </c>
      <c r="B77" s="7" t="n">
        <v>20</v>
      </c>
      <c r="C77" s="8" t="n">
        <v>530</v>
      </c>
      <c r="D77" s="7" t="n">
        <v>800</v>
      </c>
      <c r="E77" s="7" t="n">
        <v>30</v>
      </c>
      <c r="F77" s="8" t="n">
        <v>660</v>
      </c>
      <c r="G77" s="7" t="n">
        <v>1000</v>
      </c>
      <c r="H77" s="7" t="n">
        <v>10</v>
      </c>
      <c r="I77" s="8" t="n">
        <v>390</v>
      </c>
      <c r="J77" s="7" t="n">
        <v>600</v>
      </c>
    </row>
    <row r="78">
      <c r="A78" t="inlineStr">
        <is>
          <t xml:space="preserve">   House-settlement rev-share pool (SPV-funded roster COST)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  = the total baseline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SPV ECONOMICS  (Bucket 1 above baseline, 80/20; baseline = total current revenue, one lump)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26" customHeight="1">
      <c r="A85" s="17" t="inlineStr"/>
      <c r="B85" s="17" t="inlineStr">
        <is>
          <t>Baseline (total curr.)</t>
        </is>
      </c>
      <c r="C85" s="17" t="inlineStr">
        <is>
          <t>Bucket 1 Base w/MC</t>
        </is>
      </c>
      <c r="D85" s="17" t="inlineStr">
        <is>
          <t>Bucket 1 Reach w/MC</t>
        </is>
      </c>
      <c r="E85" s="17" t="inlineStr">
        <is>
          <t>SPV 80% Base</t>
        </is>
      </c>
      <c r="F85" s="17" t="inlineStr">
        <is>
          <t>SPV 80% Reach</t>
        </is>
      </c>
      <c r="G85" s="17" t="inlineStr">
        <is>
          <t>School keeps Base</t>
        </is>
      </c>
      <c r="H85" s="17" t="inlineStr">
        <is>
          <t>School keeps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B81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B86+0.2*(C86-B86)</f>
        <v/>
      </c>
      <c r="H86" s="19">
        <f>B86+0.2*(D86-B86)</f>
        <v/>
      </c>
    </row>
    <row r="87">
      <c r="A87" s="18" t="inlineStr">
        <is>
          <t>Davidson</t>
        </is>
      </c>
      <c r="B87" s="19">
        <f>E81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B87+0.2*(C87-B87)</f>
        <v/>
      </c>
      <c r="H87" s="19">
        <f>B87+0.2*(D87-B87)</f>
        <v/>
      </c>
    </row>
    <row r="88">
      <c r="A88" s="18" t="inlineStr">
        <is>
          <t>Hawaii</t>
        </is>
      </c>
      <c r="B88" s="19">
        <f>H81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B88+0.2*(C88-B88)</f>
        <v/>
      </c>
      <c r="H88" s="19">
        <f>B88+0.2*(D88-B88)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93">
      <c r="A93" s="24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94">
      <c r="A94" s="24" t="inlineStr">
        <is>
          <t>Postseason gate: conf tournament &amp; NCAA tournament ticket revenue goes to the CONFERENCE / NCAA, not the school — line reduced to a small allotment margin only.</t>
        </is>
      </c>
    </row>
    <row r="95">
      <c r="A95" s="24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6">
      <c r="A96" s="24" t="inlineStr">
        <is>
          <t>MMR constraint (Learfield/Playfly own school inventory): Bucket 1 sponsorship kept modest. National / Netflix-grade sponsor + patch = SPV IP (Bucket 2, off this sheet), not school MMR inventory.</t>
        </is>
      </c>
    </row>
    <row r="97">
      <c r="A97" s="24" t="inlineStr">
        <is>
          <t>Apparel shoe contract held FLAT — multi-year locked deal, no mid-term jump (renewal upside later). Licensing/merch/retail still grow (flexible).</t>
        </is>
      </c>
    </row>
    <row r="98">
      <c r="A98" s="24" t="inlineStr">
        <is>
          <t>NIL memo lines are NOT program revenue: (1) third-party athlete NIL income = athletes' own earnings (a recruiting benefit, not SPV rev/cost); (2) athlete marketing/activation = SPV-produced Bucket 2; (3) House rev-share pool = SPV-funded roster COST.</t>
        </is>
      </c>
    </row>
    <row r="99">
      <c r="A99" s="24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100">
      <c r="A100" s="24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99:J99"/>
    <mergeCell ref="A1:J1"/>
    <mergeCell ref="E2:G2"/>
    <mergeCell ref="A93:J93"/>
    <mergeCell ref="A94:J94"/>
    <mergeCell ref="A97:J97"/>
    <mergeCell ref="A100:J100"/>
    <mergeCell ref="A92:J92"/>
    <mergeCell ref="A91:J91"/>
    <mergeCell ref="A95:J95"/>
    <mergeCell ref="A96:J96"/>
    <mergeCell ref="H2:J2"/>
    <mergeCell ref="A98:J9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2026-07-16T03:54:39Z</dcterms:created>
  <dcterms:modified xmlns:dcterms="http://purl.org/dc/terms/" xmlns:xsi="http://www.w3.org/2001/XMLSchema-instance" xsi:type="dcterms:W3CDTF">2026-07-16T03:54:39Z</dcterms:modified>
</cp:coreProperties>
</file>