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  <sheet xmlns:r="http://schemas.openxmlformats.org/officeDocument/2006/relationships" name="Bucket 2 (SPV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7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90</v>
      </c>
      <c r="C29" s="8" t="n">
        <v>520</v>
      </c>
      <c r="D29" s="7" t="n">
        <v>800</v>
      </c>
      <c r="E29" s="7" t="n">
        <v>100</v>
      </c>
      <c r="F29" s="8" t="n">
        <v>580</v>
      </c>
      <c r="G29" s="7" t="n">
        <v>900</v>
      </c>
      <c r="H29" s="7" t="n">
        <v>120</v>
      </c>
      <c r="I29" s="8" t="n">
        <v>530</v>
      </c>
      <c r="J29" s="7" t="n">
        <v>800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t="inlineStr">
        <is>
          <t xml:space="preserve">   MC-originated MMR/signage (85% kept; 15% Learfield)</t>
        </is>
      </c>
      <c r="B36" s="7" t="n">
        <v>0</v>
      </c>
      <c r="C36" s="8" t="n">
        <v>2700</v>
      </c>
      <c r="D36" s="7" t="n">
        <v>4500</v>
      </c>
      <c r="E36" s="7" t="n">
        <v>0</v>
      </c>
      <c r="F36" s="8" t="n">
        <v>3000</v>
      </c>
      <c r="G36" s="7" t="n">
        <v>5000</v>
      </c>
      <c r="H36" s="7" t="n">
        <v>0</v>
      </c>
      <c r="I36" s="8" t="n">
        <v>2400</v>
      </c>
      <c r="J36" s="7" t="n">
        <v>4000</v>
      </c>
    </row>
    <row r="37">
      <c r="A37" s="9" t="inlineStr">
        <is>
          <t xml:space="preserve">   Subtotal — Corporate sponsorship &amp; multimedia rights</t>
        </is>
      </c>
      <c r="B37" s="10">
        <f>SUM(B29:B36)</f>
        <v/>
      </c>
      <c r="C37" s="10">
        <f>SUM(C29:C36)</f>
        <v/>
      </c>
      <c r="D37" s="10">
        <f>SUM(D29:D36)</f>
        <v/>
      </c>
      <c r="E37" s="10">
        <f>SUM(E29:E36)</f>
        <v/>
      </c>
      <c r="F37" s="10">
        <f>SUM(F29:F36)</f>
        <v/>
      </c>
      <c r="G37" s="10">
        <f>SUM(G29:G36)</f>
        <v/>
      </c>
      <c r="H37" s="10">
        <f>SUM(H29:H36)</f>
        <v/>
      </c>
      <c r="I37" s="10">
        <f>SUM(I29:I36)</f>
        <v/>
      </c>
      <c r="J37" s="10">
        <f>SUM(J29:J36)</f>
        <v/>
      </c>
    </row>
    <row r="39">
      <c r="A39" s="5" t="inlineStr">
        <is>
          <t>Philanthropy &amp; donor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t="inlineStr">
        <is>
          <t xml:space="preserve">   Annual fund / booster donations</t>
        </is>
      </c>
      <c r="B40" s="7" t="n">
        <v>180</v>
      </c>
      <c r="C40" s="8" t="n">
        <v>740</v>
      </c>
      <c r="D40" s="7" t="n">
        <v>1200</v>
      </c>
      <c r="E40" s="7" t="n">
        <v>270</v>
      </c>
      <c r="F40" s="8" t="n">
        <v>1110</v>
      </c>
      <c r="G40" s="7" t="n">
        <v>1800</v>
      </c>
      <c r="H40" s="7" t="n">
        <v>150</v>
      </c>
      <c r="I40" s="8" t="n">
        <v>620</v>
      </c>
      <c r="J40" s="7" t="n">
        <v>1000</v>
      </c>
    </row>
    <row r="41">
      <c r="A41" t="inlineStr">
        <is>
          <t xml:space="preserve">   Seat-related required donations (PSLs)</t>
        </is>
      </c>
      <c r="B41" s="7" t="n">
        <v>90</v>
      </c>
      <c r="C41" s="8" t="n">
        <v>480</v>
      </c>
      <c r="D41" s="7" t="n">
        <v>800</v>
      </c>
      <c r="E41" s="7" t="n">
        <v>150</v>
      </c>
      <c r="F41" s="8" t="n">
        <v>730</v>
      </c>
      <c r="G41" s="7" t="n">
        <v>1200</v>
      </c>
      <c r="H41" s="7" t="n">
        <v>60</v>
      </c>
      <c r="I41" s="8" t="n">
        <v>410</v>
      </c>
      <c r="J41" s="7" t="n">
        <v>700</v>
      </c>
    </row>
    <row r="42">
      <c r="A42" t="inlineStr">
        <is>
          <t xml:space="preserve">   Major gifts &amp; endowment (MBB-specific)</t>
        </is>
      </c>
      <c r="B42" s="7" t="n">
        <v>60</v>
      </c>
      <c r="C42" s="8" t="n">
        <v>580</v>
      </c>
      <c r="D42" s="7" t="n">
        <v>1000</v>
      </c>
      <c r="E42" s="7" t="n">
        <v>120</v>
      </c>
      <c r="F42" s="8" t="n">
        <v>880</v>
      </c>
      <c r="G42" s="7" t="n">
        <v>1500</v>
      </c>
      <c r="H42" s="7" t="n">
        <v>40</v>
      </c>
      <c r="I42" s="8" t="n">
        <v>510</v>
      </c>
      <c r="J42" s="7" t="n">
        <v>900</v>
      </c>
    </row>
    <row r="43">
      <c r="A43" t="inlineStr">
        <is>
          <t xml:space="preserve">   Capital-campaign gifts (facilities)</t>
        </is>
      </c>
      <c r="B43" s="7" t="n">
        <v>30</v>
      </c>
      <c r="C43" s="8" t="n">
        <v>230</v>
      </c>
      <c r="D43" s="7" t="n">
        <v>400</v>
      </c>
      <c r="E43" s="7" t="n">
        <v>60</v>
      </c>
      <c r="F43" s="8" t="n">
        <v>410</v>
      </c>
      <c r="G43" s="7" t="n">
        <v>700</v>
      </c>
      <c r="H43" s="7" t="n">
        <v>30</v>
      </c>
      <c r="I43" s="8" t="n">
        <v>290</v>
      </c>
      <c r="J43" s="7" t="n">
        <v>500</v>
      </c>
    </row>
    <row r="44">
      <c r="A44" s="9" t="inlineStr">
        <is>
          <t xml:space="preserve">   Subtotal — Philanthropy &amp; donor</t>
        </is>
      </c>
      <c r="B44" s="10">
        <f>SUM(B40:B43)</f>
        <v/>
      </c>
      <c r="C44" s="10">
        <f>SUM(C40:C43)</f>
        <v/>
      </c>
      <c r="D44" s="10">
        <f>SUM(D40:D43)</f>
        <v/>
      </c>
      <c r="E44" s="10">
        <f>SUM(E40:E43)</f>
        <v/>
      </c>
      <c r="F44" s="10">
        <f>SUM(F40:F43)</f>
        <v/>
      </c>
      <c r="G44" s="10">
        <f>SUM(G40:G43)</f>
        <v/>
      </c>
      <c r="H44" s="10">
        <f>SUM(H40:H43)</f>
        <v/>
      </c>
      <c r="I44" s="10">
        <f>SUM(I40:I43)</f>
        <v/>
      </c>
      <c r="J44" s="10">
        <f>SUM(J40:J43)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200</v>
      </c>
      <c r="C47" s="8" t="n">
        <v>200</v>
      </c>
      <c r="D47" s="7" t="n">
        <v>200</v>
      </c>
      <c r="E47" s="7" t="n">
        <v>300</v>
      </c>
      <c r="F47" s="8" t="n">
        <v>300</v>
      </c>
      <c r="G47" s="7" t="n">
        <v>300</v>
      </c>
      <c r="H47" s="7" t="n">
        <v>150</v>
      </c>
      <c r="I47" s="8" t="n">
        <v>150</v>
      </c>
      <c r="J47" s="7" t="n">
        <v>150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20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40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90</v>
      </c>
      <c r="C54" s="8" t="n">
        <v>410</v>
      </c>
      <c r="D54" s="7" t="n">
        <v>600</v>
      </c>
      <c r="E54" s="7" t="n">
        <v>90</v>
      </c>
      <c r="F54" s="8" t="n">
        <v>410</v>
      </c>
      <c r="G54" s="7" t="n">
        <v>600</v>
      </c>
      <c r="H54" s="7" t="n">
        <v>120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40</v>
      </c>
      <c r="F55" s="8" t="n">
        <v>570</v>
      </c>
      <c r="G55" s="7" t="n">
        <v>900</v>
      </c>
      <c r="H55" s="7" t="n">
        <v>90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20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40</v>
      </c>
      <c r="I56" s="8" t="n">
        <v>260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40</v>
      </c>
      <c r="C61" s="8" t="n">
        <v>270</v>
      </c>
      <c r="D61" s="7" t="n">
        <v>400</v>
      </c>
      <c r="E61" s="7" t="n">
        <v>60</v>
      </c>
      <c r="F61" s="8" t="n">
        <v>350</v>
      </c>
      <c r="G61" s="7" t="n">
        <v>500</v>
      </c>
      <c r="H61" s="7" t="n">
        <v>40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20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240</v>
      </c>
      <c r="C67" s="8" t="n">
        <v>320</v>
      </c>
      <c r="D67" s="7" t="n">
        <v>400</v>
      </c>
      <c r="E67" s="7" t="n">
        <v>180</v>
      </c>
      <c r="F67" s="8" t="n">
        <v>240</v>
      </c>
      <c r="G67" s="7" t="n">
        <v>300</v>
      </c>
      <c r="H67" s="7" t="n">
        <v>360</v>
      </c>
      <c r="I67" s="8" t="n">
        <v>530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60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180</v>
      </c>
      <c r="I68" s="8" t="n">
        <v>290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240</v>
      </c>
      <c r="I69" s="8" t="n">
        <v>420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90</v>
      </c>
      <c r="F70" s="8" t="n">
        <v>240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20</v>
      </c>
      <c r="F71" s="8" t="n">
        <v>80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11" t="inlineStr">
        <is>
          <t>PROGRAM REVENUE  (all categories)  = the total baseline</t>
        </is>
      </c>
      <c r="B75" s="12">
        <f>B12+B19+B26+B37+B44+B51+B58+B64+B73</f>
        <v/>
      </c>
      <c r="C75" s="12">
        <f>C12+C19+C26+C37+C44+C51+C58+C64+C73</f>
        <v/>
      </c>
      <c r="D75" s="12">
        <f>D12+D19+D26+D37+D44+D51+D58+D64+D73</f>
        <v/>
      </c>
      <c r="E75" s="12">
        <f>E12+E19+E26+E37+E44+E51+E58+E64+E73</f>
        <v/>
      </c>
      <c r="F75" s="12">
        <f>F12+F19+F26+F37+F44+F51+F58+F64+F73</f>
        <v/>
      </c>
      <c r="G75" s="12">
        <f>G12+G19+G26+G37+G44+G51+G58+G64+G73</f>
        <v/>
      </c>
      <c r="H75" s="12">
        <f>H12+H19+H26+H37+H44+H51+H58+H64+H73</f>
        <v/>
      </c>
      <c r="I75" s="12">
        <f>I12+I19+I26+I37+I44+I51+I58+I64+I73</f>
        <v/>
      </c>
      <c r="J75" s="12">
        <f>J12+J19+J26+J37+J44+J51+J58+J64+J73</f>
        <v/>
      </c>
    </row>
    <row r="77">
      <c r="A77" s="13" t="inlineStr">
        <is>
          <t>SPV ECONOMICS  (Bucket 1 above baseline, 80/20; baseline = total current revenue, one lump)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 ht="26" customHeight="1">
      <c r="A78" s="15" t="inlineStr"/>
      <c r="B78" s="15" t="inlineStr">
        <is>
          <t>Baseline (total curr.)</t>
        </is>
      </c>
      <c r="C78" s="15" t="inlineStr">
        <is>
          <t>Bucket 1 Base w/MC</t>
        </is>
      </c>
      <c r="D78" s="15" t="inlineStr">
        <is>
          <t>Bucket 1 Reach w/MC</t>
        </is>
      </c>
      <c r="E78" s="15" t="inlineStr">
        <is>
          <t>SPV 80% Base</t>
        </is>
      </c>
      <c r="F78" s="15" t="inlineStr">
        <is>
          <t>SPV 80% Reach</t>
        </is>
      </c>
      <c r="G78" s="15" t="inlineStr">
        <is>
          <t>School keeps Base</t>
        </is>
      </c>
      <c r="H78" s="15" t="inlineStr">
        <is>
          <t>School keeps Reach</t>
        </is>
      </c>
      <c r="I78" s="15" t="inlineStr"/>
      <c r="J78" s="15" t="inlineStr"/>
    </row>
    <row r="79">
      <c r="A79" s="16" t="inlineStr">
        <is>
          <t>St. Joseph's</t>
        </is>
      </c>
      <c r="B79" s="17">
        <f>B75</f>
        <v/>
      </c>
      <c r="C79" s="17">
        <f>C12+C19+C37+C51+C58+C64</f>
        <v/>
      </c>
      <c r="D79" s="17">
        <f>D12+D19+D37+D51+D58+D64</f>
        <v/>
      </c>
      <c r="E79" s="18">
        <f>0.8*(C79-B79)</f>
        <v/>
      </c>
      <c r="F79" s="19">
        <f>0.8*(D79-B79)</f>
        <v/>
      </c>
      <c r="G79" s="17">
        <f>B79+0.2*(C79-B79)</f>
        <v/>
      </c>
      <c r="H79" s="17">
        <f>B79+0.2*(D79-B79)</f>
        <v/>
      </c>
    </row>
    <row r="80">
      <c r="A80" s="16" t="inlineStr">
        <is>
          <t>Davidson</t>
        </is>
      </c>
      <c r="B80" s="17">
        <f>E75</f>
        <v/>
      </c>
      <c r="C80" s="17">
        <f>F12+F19+F37+F51+F58+F64</f>
        <v/>
      </c>
      <c r="D80" s="17">
        <f>G12+G19+G37+G51+G58+G64</f>
        <v/>
      </c>
      <c r="E80" s="18">
        <f>0.8*(C80-B80)</f>
        <v/>
      </c>
      <c r="F80" s="19">
        <f>0.8*(D80-B80)</f>
        <v/>
      </c>
      <c r="G80" s="17">
        <f>B80+0.2*(C80-B80)</f>
        <v/>
      </c>
      <c r="H80" s="17">
        <f>B80+0.2*(D80-B80)</f>
        <v/>
      </c>
    </row>
    <row r="81">
      <c r="A81" s="16" t="inlineStr">
        <is>
          <t>Hawaii</t>
        </is>
      </c>
      <c r="B81" s="17">
        <f>H75</f>
        <v/>
      </c>
      <c r="C81" s="17">
        <f>I12+I19+I37+I51+I58+I64</f>
        <v/>
      </c>
      <c r="D81" s="17">
        <f>J12+J19+J37+J51+J58+J64</f>
        <v/>
      </c>
      <c r="E81" s="18">
        <f>0.8*(C81-B81)</f>
        <v/>
      </c>
      <c r="F81" s="19">
        <f>0.8*(D81-B81)</f>
        <v/>
      </c>
      <c r="G81" s="17">
        <f>B81+0.2*(C81-B81)</f>
        <v/>
      </c>
      <c r="H81" s="17">
        <f>B81+0.2*(D81-B81)</f>
        <v/>
      </c>
    </row>
    <row r="83">
      <c r="A83" s="20" t="inlineStr">
        <is>
          <t>NOTES</t>
        </is>
      </c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</row>
    <row r="84">
      <c r="A84" s="22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85">
      <c r="A85" s="22" t="inlineStr">
        <is>
          <t>MECHANIC (simplified): baseline = the school's TOTAL current program revenue (one lump, the green PROGRAM REVENUE row). The school keeps the first [baseline] dollars; everything in Bucket 1 above the baseline splits 80/20 (SPV 80, school 20). Not itemized line-by-line.</t>
        </is>
      </c>
    </row>
    <row r="86">
      <c r="A86" s="22" t="inlineStr">
        <is>
          <t>Bucket 1 = the school's commercial revenue with MC (Ticketing, Media, Sponsorship/MMR, Apparel/Licensing, Guarantees, Camps). SPV 80% = 0.8 x (Bucket 1 w/MC - total baseline). School keeps baseline + 20% of the excess.</t>
        </is>
      </c>
    </row>
    <row r="87">
      <c r="A87" s="22" t="inlineStr">
        <is>
          <t>Postseason gate: conf tournament &amp; NCAA tournament ticket revenue goes to the CONFERENCE / NCAA, not the school — line reduced to a small allotment margin only.</t>
        </is>
      </c>
    </row>
    <row r="88">
      <c r="A88" s="22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89">
      <c r="A89" s="22" t="inlineStr">
        <is>
          <t>MMR/Learfield: MC-originated signage/MMR-scope sponsorship is negotiated 85% to the program / 15% to Learfield, and the 85% is booked HERE in Bucket 1 — then runs through the 80/20 like all team revenue. Only purely on-screen / in-documentary sponsorship sits in Bucket 2.</t>
        </is>
      </c>
    </row>
    <row r="90">
      <c r="A90" s="22" t="inlineStr">
        <is>
          <t>Apparel shoe contract held FLAT — multi-year locked deal, no mid-term jump (renewal upside later). Licensing/merch/retail still grow (flexible).</t>
        </is>
      </c>
    </row>
    <row r="91">
      <c r="A91" s="22" t="inlineStr">
        <is>
          <t>Excluded from this sheet (none are team revenue): third-party athlete NIL income = athletes' own earnings (a recruiting benefit); athlete marketing/activation = Bucket 2 content; House rev-share pool + booster collective = SPV-funded roster COST (part of the $15M).</t>
        </is>
      </c>
    </row>
    <row r="92">
      <c r="A92" s="22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93">
      <c r="A93" s="22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4">
    <mergeCell ref="A85:J85"/>
    <mergeCell ref="A1:J1"/>
    <mergeCell ref="E2:G2"/>
    <mergeCell ref="A84:J84"/>
    <mergeCell ref="A93:J93"/>
    <mergeCell ref="A89:J89"/>
    <mergeCell ref="A88:J88"/>
    <mergeCell ref="A92:J92"/>
    <mergeCell ref="A91:J91"/>
    <mergeCell ref="A87:J87"/>
    <mergeCell ref="H2:J2"/>
    <mergeCell ref="A86:J86"/>
    <mergeCell ref="A90:J90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Bucket 2 — SPV-only revenue (100% SPV, off the school sheet)   ($000s)</t>
        </is>
      </c>
    </row>
    <row r="3">
      <c r="A3" s="3" t="inlineStr">
        <is>
          <t>Line</t>
        </is>
      </c>
      <c r="B3" s="4" t="inlineStr">
        <is>
          <t>Base</t>
        </is>
      </c>
      <c r="C3" s="4" t="inlineStr">
        <is>
          <t>Reach</t>
        </is>
      </c>
      <c r="D3" s="4" t="inlineStr"/>
      <c r="E3" s="4" t="inlineStr"/>
    </row>
    <row r="4">
      <c r="A4" t="inlineStr">
        <is>
          <t xml:space="preserve">   Streaming series (10 hrs @ $1.0M sold / $0.6M cost)</t>
        </is>
      </c>
      <c r="B4" s="17" t="n">
        <v>3200</v>
      </c>
      <c r="C4" s="17" t="n">
        <v>5000</v>
      </c>
      <c r="D4" s="23" t="inlineStr">
        <is>
          <t>$400k/hr margin before intl/format</t>
        </is>
      </c>
    </row>
    <row r="5">
      <c r="A5" t="inlineStr">
        <is>
          <t xml:space="preserve">   International + format windows</t>
        </is>
      </c>
      <c r="B5" s="17" t="n">
        <v>1500</v>
      </c>
      <c r="C5" s="17" t="n">
        <v>5000</v>
      </c>
      <c r="D5" s="23" t="inlineStr">
        <is>
          <t>durable franchise asset; grows w/ library</t>
        </is>
      </c>
    </row>
    <row r="6">
      <c r="A6" t="inlineStr">
        <is>
          <t xml:space="preserve">   Live games (3 @ &gt;$1.0M rev / $0.3M cost each)</t>
        </is>
      </c>
      <c r="B6" s="17" t="n">
        <v>2100</v>
      </c>
      <c r="C6" s="17" t="n">
        <v>4000</v>
      </c>
      <c r="D6" s="23" t="inlineStr">
        <is>
          <t>school-owned neutral/non-conf games</t>
        </is>
      </c>
    </row>
    <row r="7">
      <c r="A7" t="inlineStr">
        <is>
          <t xml:space="preserve">   National presenting sponsor + premium patch</t>
        </is>
      </c>
      <c r="B7" s="17" t="n">
        <v>3000</v>
      </c>
      <c r="C7" s="17" t="n">
        <v>8000</v>
      </c>
      <c r="D7" s="23" t="inlineStr">
        <is>
          <t>on-screen/in-documentary sponsor; SPV IP, not school MMR</t>
        </is>
      </c>
    </row>
    <row r="8">
      <c r="A8" t="inlineStr">
        <is>
          <t xml:space="preserve">   Content engine / athlete marketing &amp; activation</t>
        </is>
      </c>
      <c r="B8" s="17" t="n">
        <v>500</v>
      </c>
      <c r="C8" s="17" t="n">
        <v>1500</v>
      </c>
      <c r="D8" s="23" t="inlineStr">
        <is>
          <t>SPV-produced branded content; players' NIL contracted</t>
        </is>
      </c>
    </row>
    <row r="9">
      <c r="A9" s="24" t="inlineStr">
        <is>
          <t xml:space="preserve">   Bucket 2 total (SPV)</t>
        </is>
      </c>
      <c r="B9" s="10">
        <f>SUM(B4:B8)</f>
        <v/>
      </c>
      <c r="C9" s="10">
        <f>SUM(C4:C8)</f>
        <v/>
      </c>
    </row>
    <row r="11">
      <c r="A11" s="13" t="inlineStr">
        <is>
          <t>FULL SPV PICTURE — single season  (Bucket 1 share + Bucket 2 − $15M SPV cost)</t>
        </is>
      </c>
      <c r="B11" s="14" t="n"/>
      <c r="C11" s="14" t="n"/>
      <c r="D11" s="14" t="n"/>
      <c r="E11" s="14" t="n"/>
    </row>
    <row r="12">
      <c r="A12" s="15" t="inlineStr">
        <is>
          <t>School</t>
        </is>
      </c>
      <c r="B12" s="15" t="inlineStr">
        <is>
          <t>Bkt1 SPV Base</t>
        </is>
      </c>
      <c r="C12" s="15" t="inlineStr">
        <is>
          <t>+ Bkt2 Base</t>
        </is>
      </c>
      <c r="D12" s="15" t="inlineStr">
        <is>
          <t>− SPV cost</t>
        </is>
      </c>
      <c r="E12" s="15">
        <f> SPV net Base</f>
        <v/>
      </c>
    </row>
    <row r="13">
      <c r="A13" s="16" t="inlineStr">
        <is>
          <t>St. Joseph's</t>
        </is>
      </c>
      <c r="B13" s="17">
        <f>'Three-School Projection'!E79</f>
        <v/>
      </c>
      <c r="C13" s="17">
        <f>B9</f>
        <v/>
      </c>
      <c r="D13" s="17" t="n">
        <v>-15000</v>
      </c>
      <c r="E13" s="19">
        <f>B13+C13+D13</f>
        <v/>
      </c>
    </row>
    <row r="14">
      <c r="A14" s="16" t="inlineStr">
        <is>
          <t>Davidson</t>
        </is>
      </c>
      <c r="B14" s="17">
        <f>'Three-School Projection'!E80</f>
        <v/>
      </c>
      <c r="C14" s="17">
        <f>B9</f>
        <v/>
      </c>
      <c r="D14" s="17" t="n">
        <v>-15000</v>
      </c>
      <c r="E14" s="19">
        <f>B14+C14+D14</f>
        <v/>
      </c>
    </row>
    <row r="15">
      <c r="A15" s="16" t="inlineStr">
        <is>
          <t>Hawaii</t>
        </is>
      </c>
      <c r="B15" s="17">
        <f>'Three-School Projection'!E81</f>
        <v/>
      </c>
      <c r="C15" s="17">
        <f>B9</f>
        <v/>
      </c>
      <c r="D15" s="17" t="n">
        <v>-15000</v>
      </c>
      <c r="E15" s="19">
        <f>B15+C15+D15</f>
        <v/>
      </c>
    </row>
    <row r="17">
      <c r="A17" s="15" t="inlineStr">
        <is>
          <t>School</t>
        </is>
      </c>
      <c r="B17" s="15" t="inlineStr">
        <is>
          <t>Bkt1 SPV Reach</t>
        </is>
      </c>
      <c r="C17" s="15" t="inlineStr">
        <is>
          <t>+ Bkt2 Reach</t>
        </is>
      </c>
      <c r="D17" s="15" t="inlineStr">
        <is>
          <t>− SPV cost</t>
        </is>
      </c>
      <c r="E17" s="15">
        <f> SPV net Reach</f>
        <v/>
      </c>
    </row>
    <row r="18">
      <c r="A18" s="16" t="inlineStr">
        <is>
          <t>St. Joseph's</t>
        </is>
      </c>
      <c r="B18" s="17">
        <f>'Three-School Projection'!F79</f>
        <v/>
      </c>
      <c r="C18" s="17">
        <f>C9</f>
        <v/>
      </c>
      <c r="D18" s="17" t="n">
        <v>-15000</v>
      </c>
      <c r="E18" s="19">
        <f>B18+C18+D18</f>
        <v/>
      </c>
    </row>
    <row r="19">
      <c r="A19" s="16" t="inlineStr">
        <is>
          <t>Davidson</t>
        </is>
      </c>
      <c r="B19" s="17">
        <f>'Three-School Projection'!F80</f>
        <v/>
      </c>
      <c r="C19" s="17">
        <f>C9</f>
        <v/>
      </c>
      <c r="D19" s="17" t="n">
        <v>-15000</v>
      </c>
      <c r="E19" s="19">
        <f>B19+C19+D19</f>
        <v/>
      </c>
    </row>
    <row r="20">
      <c r="A20" s="16" t="inlineStr">
        <is>
          <t>Hawaii</t>
        </is>
      </c>
      <c r="B20" s="17">
        <f>'Three-School Projection'!F81</f>
        <v/>
      </c>
      <c r="C20" s="17">
        <f>C9</f>
        <v/>
      </c>
      <c r="D20" s="17" t="n">
        <v>-15000</v>
      </c>
      <c r="E20" s="19">
        <f>B20+C20+D20</f>
        <v/>
      </c>
    </row>
    <row r="22">
      <c r="A22" s="22" t="inlineStr">
        <is>
          <t>Bucket 2 is 100% SPV and never touches the school sheet or the 80/20 split.</t>
        </is>
      </c>
    </row>
    <row r="23">
      <c r="A23" s="22" t="inlineStr">
        <is>
          <t>Series &amp; live-game costs are already netted in their lines (EverWonder finances production, recoups cost+10%). The $15M SPV cost = roster/NIL + ops.</t>
        </is>
      </c>
    </row>
    <row r="24">
      <c r="A24" s="22" t="inlineStr">
        <is>
          <t>Bucket 2 = purely on-screen / in-documentary revenue. MC-originated MMR/signage sponsorship is NOT here — it's booked in Bucket 1 (school sheet) at 85% kept / 15% Learfield, then runs through the 80/20.</t>
        </is>
      </c>
    </row>
    <row r="25">
      <c r="A25" s="22" t="inlineStr">
        <is>
          <t>Per-school variance is minor (national platform) — Davidson skews high via the Curry anchor. Reach is the optimistic ceiling; underwrite on Base.</t>
        </is>
      </c>
    </row>
  </sheetData>
  <mergeCells count="5">
    <mergeCell ref="A24:E24"/>
    <mergeCell ref="A25:E25"/>
    <mergeCell ref="A1:E1"/>
    <mergeCell ref="A23:E2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2026-07-16T04:28:33Z</dcterms:created>
  <dcterms:modified xmlns:dcterms="http://purl.org/dc/terms/" xmlns:xsi="http://www.w3.org/2001/XMLSchema-instance" xsi:type="dcterms:W3CDTF">2026-07-16T04:28:33Z</dcterms:modified>
</cp:coreProperties>
</file>