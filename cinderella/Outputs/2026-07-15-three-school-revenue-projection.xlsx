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e-School Projection" sheetId="1" state="visible" r:id="rId1"/>
    <sheet xmlns:r="http://schemas.openxmlformats.org/officeDocument/2006/relationships" name="Bucket 2 (SPV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–&quot;"/>
  </numFmts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i val="1"/>
    </font>
    <font>
      <b val="1"/>
    </font>
    <font>
      <b val="1"/>
      <color rgb="00FFFFFF"/>
      <sz val="11"/>
    </font>
    <font>
      <b val="1"/>
      <color rgb="00FFFFFF"/>
      <sz val="9"/>
    </font>
    <font>
      <i val="1"/>
      <color rgb="00404040"/>
      <sz val="9"/>
    </font>
    <font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80808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164" fontId="0" fillId="0" borderId="1" pivotButton="0" quotePrefix="0" xfId="0"/>
    <xf numFmtId="164" fontId="0" fillId="4" borderId="1" pivotButton="0" quotePrefix="0" xfId="0"/>
    <xf numFmtId="0" fontId="3" fillId="5" borderId="0" pivotButton="0" quotePrefix="0" xfId="0"/>
    <xf numFmtId="164" fontId="4" fillId="5" borderId="0" pivotButton="0" quotePrefix="0" xfId="0"/>
    <xf numFmtId="0" fontId="5" fillId="6" borderId="0" pivotButton="0" quotePrefix="0" xfId="0"/>
    <xf numFmtId="164" fontId="5" fillId="6" borderId="0" pivotButton="0" quotePrefix="0" xfId="0"/>
    <xf numFmtId="0" fontId="5" fillId="7" borderId="0" pivotButton="0" quotePrefix="0" xfId="0"/>
    <xf numFmtId="164" fontId="5" fillId="7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6" fillId="3" borderId="0" applyAlignment="1" pivotButton="0" quotePrefix="0" xfId="0">
      <alignment horizontal="center" wrapText="1"/>
    </xf>
    <xf numFmtId="0" fontId="4" fillId="0" borderId="0" pivotButton="0" quotePrefix="0" xfId="0"/>
    <xf numFmtId="164" fontId="0" fillId="0" borderId="0" pivotButton="0" quotePrefix="0" xfId="0"/>
    <xf numFmtId="164" fontId="4" fillId="4" borderId="0" pivotButton="0" quotePrefix="0" xfId="0"/>
    <xf numFmtId="164" fontId="4" fillId="8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1" t="inlineStr">
        <is>
          <t>Making Cinderella — Season 1 MBB Revenue: Current / Base / Reach   (figures in $000s; estimates)</t>
        </is>
      </c>
    </row>
    <row r="2">
      <c r="B2" s="2" t="inlineStr">
        <is>
          <t>ST. JOSEPH'S  (Hagan 4,200 · A-10)</t>
        </is>
      </c>
      <c r="E2" s="2" t="inlineStr">
        <is>
          <t>DAVIDSON  (Belk 5,223 · Curry alma mater)</t>
        </is>
      </c>
      <c r="H2" s="2" t="inlineStr">
        <is>
          <t>HAWAII  (Stan Sheriff 10,300 · Big West)</t>
        </is>
      </c>
    </row>
    <row r="3" ht="18" customHeight="1">
      <c r="A3" s="3" t="inlineStr">
        <is>
          <t>Revenue line item</t>
        </is>
      </c>
      <c r="B3" s="4" t="inlineStr">
        <is>
          <t>Current</t>
        </is>
      </c>
      <c r="C3" s="4" t="inlineStr">
        <is>
          <t>Base</t>
        </is>
      </c>
      <c r="D3" s="4" t="inlineStr">
        <is>
          <t>Reach</t>
        </is>
      </c>
      <c r="E3" s="4" t="inlineStr">
        <is>
          <t>Current</t>
        </is>
      </c>
      <c r="F3" s="4" t="inlineStr">
        <is>
          <t>Base</t>
        </is>
      </c>
      <c r="G3" s="4" t="inlineStr">
        <is>
          <t>Reach</t>
        </is>
      </c>
      <c r="H3" s="4" t="inlineStr">
        <is>
          <t>Current</t>
        </is>
      </c>
      <c r="I3" s="4" t="inlineStr">
        <is>
          <t>Base</t>
        </is>
      </c>
      <c r="J3" s="4" t="inlineStr">
        <is>
          <t>Reach</t>
        </is>
      </c>
    </row>
    <row r="4">
      <c r="A4" s="5" t="inlineStr">
        <is>
          <t>Ticketing &amp; game-day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t="inlineStr">
        <is>
          <t xml:space="preserve">   Season ticket sales</t>
        </is>
      </c>
      <c r="B5" s="7" t="n">
        <v>210</v>
      </c>
      <c r="C5" s="8" t="n">
        <v>1200</v>
      </c>
      <c r="D5" s="7" t="n">
        <v>1800</v>
      </c>
      <c r="E5" s="7" t="n">
        <v>270</v>
      </c>
      <c r="F5" s="8" t="n">
        <v>1470</v>
      </c>
      <c r="G5" s="7" t="n">
        <v>2200</v>
      </c>
      <c r="H5" s="7" t="n">
        <v>450</v>
      </c>
      <c r="I5" s="8" t="n">
        <v>2030</v>
      </c>
      <c r="J5" s="7" t="n">
        <v>3000</v>
      </c>
    </row>
    <row r="6">
      <c r="A6" t="inlineStr">
        <is>
          <t xml:space="preserve">   Single-game &amp; group ticket sales</t>
        </is>
      </c>
      <c r="B6" s="7" t="n">
        <v>120</v>
      </c>
      <c r="C6" s="8" t="n">
        <v>2220</v>
      </c>
      <c r="D6" s="7" t="n">
        <v>3500</v>
      </c>
      <c r="E6" s="7" t="n">
        <v>150</v>
      </c>
      <c r="F6" s="8" t="n">
        <v>2230</v>
      </c>
      <c r="G6" s="7" t="n">
        <v>3500</v>
      </c>
      <c r="H6" s="7" t="n">
        <v>210</v>
      </c>
      <c r="I6" s="8" t="n">
        <v>1630</v>
      </c>
      <c r="J6" s="7" t="n">
        <v>2500</v>
      </c>
    </row>
    <row r="7">
      <c r="A7" t="inlineStr">
        <is>
          <t xml:space="preserve">   Premium seating (suites, club, courtside)</t>
        </is>
      </c>
      <c r="B7" s="7" t="n">
        <v>40</v>
      </c>
      <c r="C7" s="8" t="n">
        <v>510</v>
      </c>
      <c r="D7" s="7" t="n">
        <v>800</v>
      </c>
      <c r="E7" s="7" t="n">
        <v>80</v>
      </c>
      <c r="F7" s="8" t="n">
        <v>650</v>
      </c>
      <c r="G7" s="7" t="n">
        <v>1000</v>
      </c>
      <c r="H7" s="7" t="n">
        <v>90</v>
      </c>
      <c r="I7" s="8" t="n">
        <v>590</v>
      </c>
      <c r="J7" s="7" t="n">
        <v>900</v>
      </c>
    </row>
    <row r="8">
      <c r="A8" t="inlineStr">
        <is>
          <t xml:space="preserve">   Postseason ticket (allotment margin — conf/NCAA keep the gate)</t>
        </is>
      </c>
      <c r="B8" s="7" t="n">
        <v>10</v>
      </c>
      <c r="C8" s="8" t="n">
        <v>40</v>
      </c>
      <c r="D8" s="7" t="n">
        <v>60</v>
      </c>
      <c r="E8" s="7" t="n">
        <v>20</v>
      </c>
      <c r="F8" s="8" t="n">
        <v>60</v>
      </c>
      <c r="G8" s="7" t="n">
        <v>80</v>
      </c>
      <c r="H8" s="7" t="n">
        <v>10</v>
      </c>
      <c r="I8" s="8" t="n">
        <v>30</v>
      </c>
      <c r="J8" s="7" t="n">
        <v>50</v>
      </c>
    </row>
    <row r="9">
      <c r="A9" t="inlineStr">
        <is>
          <t xml:space="preserve">   Concessions (program's share)</t>
        </is>
      </c>
      <c r="B9" s="7" t="n">
        <v>40</v>
      </c>
      <c r="C9" s="8" t="n">
        <v>330</v>
      </c>
      <c r="D9" s="7" t="n">
        <v>500</v>
      </c>
      <c r="E9" s="7" t="n">
        <v>40</v>
      </c>
      <c r="F9" s="8" t="n">
        <v>360</v>
      </c>
      <c r="G9" s="7" t="n">
        <v>550</v>
      </c>
      <c r="H9" s="7" t="n">
        <v>90</v>
      </c>
      <c r="I9" s="8" t="n">
        <v>470</v>
      </c>
      <c r="J9" s="7" t="n">
        <v>700</v>
      </c>
    </row>
    <row r="10">
      <c r="A10" t="inlineStr">
        <is>
          <t xml:space="preserve">   Parking</t>
        </is>
      </c>
      <c r="B10" s="7" t="n">
        <v>20</v>
      </c>
      <c r="C10" s="8" t="n">
        <v>190</v>
      </c>
      <c r="D10" s="7" t="n">
        <v>300</v>
      </c>
      <c r="E10" s="7" t="n">
        <v>20</v>
      </c>
      <c r="F10" s="8" t="n">
        <v>220</v>
      </c>
      <c r="G10" s="7" t="n">
        <v>350</v>
      </c>
      <c r="H10" s="7" t="n">
        <v>40</v>
      </c>
      <c r="I10" s="8" t="n">
        <v>230</v>
      </c>
      <c r="J10" s="7" t="n">
        <v>350</v>
      </c>
    </row>
    <row r="11">
      <c r="A11" t="inlineStr">
        <is>
          <t xml:space="preserve">   Game-day novelty / program / merch</t>
        </is>
      </c>
      <c r="B11" s="7" t="n">
        <v>20</v>
      </c>
      <c r="C11" s="8" t="n">
        <v>320</v>
      </c>
      <c r="D11" s="7" t="n">
        <v>500</v>
      </c>
      <c r="E11" s="7" t="n">
        <v>40</v>
      </c>
      <c r="F11" s="8" t="n">
        <v>390</v>
      </c>
      <c r="G11" s="7" t="n">
        <v>600</v>
      </c>
      <c r="H11" s="7" t="n">
        <v>40</v>
      </c>
      <c r="I11" s="8" t="n">
        <v>330</v>
      </c>
      <c r="J11" s="7" t="n">
        <v>500</v>
      </c>
    </row>
    <row r="12">
      <c r="A12" s="9" t="inlineStr">
        <is>
          <t xml:space="preserve">   Subtotal — Ticketing &amp; game-day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</row>
    <row r="14">
      <c r="A14" s="5" t="inlineStr">
        <is>
          <t>Media &amp; broadcasting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t="inlineStr">
        <is>
          <t xml:space="preserve">   Conference media-rights distribution</t>
        </is>
      </c>
      <c r="B15" s="7" t="n">
        <v>450</v>
      </c>
      <c r="C15" s="8" t="n">
        <v>450</v>
      </c>
      <c r="D15" s="7" t="n">
        <v>450</v>
      </c>
      <c r="E15" s="7" t="n">
        <v>450</v>
      </c>
      <c r="F15" s="8" t="n">
        <v>450</v>
      </c>
      <c r="G15" s="7" t="n">
        <v>450</v>
      </c>
      <c r="H15" s="7" t="n">
        <v>250</v>
      </c>
      <c r="I15" s="8" t="n">
        <v>250</v>
      </c>
      <c r="J15" s="7" t="n">
        <v>250</v>
      </c>
    </row>
    <row r="16">
      <c r="A16" t="inlineStr">
        <is>
          <t xml:space="preserve">   Third-tier / local media (school-retained)</t>
        </is>
      </c>
      <c r="B16" s="7" t="n">
        <v>20</v>
      </c>
      <c r="C16" s="8" t="n">
        <v>160</v>
      </c>
      <c r="D16" s="7" t="n">
        <v>250</v>
      </c>
      <c r="E16" s="7" t="n">
        <v>20</v>
      </c>
      <c r="F16" s="8" t="n">
        <v>190</v>
      </c>
      <c r="G16" s="7" t="n">
        <v>300</v>
      </c>
      <c r="H16" s="7" t="n">
        <v>20</v>
      </c>
      <c r="I16" s="8" t="n">
        <v>130</v>
      </c>
      <c r="J16" s="7" t="n">
        <v>200</v>
      </c>
    </row>
    <row r="17">
      <c r="A17" t="inlineStr">
        <is>
          <t xml:space="preserve">   School-controlled streaming</t>
        </is>
      </c>
      <c r="B17" s="7" t="n">
        <v>10</v>
      </c>
      <c r="C17" s="8" t="n">
        <v>240</v>
      </c>
      <c r="D17" s="7" t="n">
        <v>400</v>
      </c>
      <c r="E17" s="7" t="n">
        <v>10</v>
      </c>
      <c r="F17" s="8" t="n">
        <v>270</v>
      </c>
      <c r="G17" s="7" t="n">
        <v>450</v>
      </c>
      <c r="H17" s="7" t="n">
        <v>10</v>
      </c>
      <c r="I17" s="8" t="n">
        <v>210</v>
      </c>
      <c r="J17" s="7" t="n">
        <v>350</v>
      </c>
    </row>
    <row r="18">
      <c r="A18" t="inlineStr">
        <is>
          <t xml:space="preserve">   Radio broadcast rights</t>
        </is>
      </c>
      <c r="B18" s="7" t="n">
        <v>10</v>
      </c>
      <c r="C18" s="8" t="n">
        <v>80</v>
      </c>
      <c r="D18" s="7" t="n">
        <v>120</v>
      </c>
      <c r="E18" s="7" t="n">
        <v>20</v>
      </c>
      <c r="F18" s="8" t="n">
        <v>100</v>
      </c>
      <c r="G18" s="7" t="n">
        <v>150</v>
      </c>
      <c r="H18" s="7" t="n">
        <v>20</v>
      </c>
      <c r="I18" s="8" t="n">
        <v>70</v>
      </c>
      <c r="J18" s="7" t="n">
        <v>100</v>
      </c>
    </row>
    <row r="19">
      <c r="A19" s="9" t="inlineStr">
        <is>
          <t xml:space="preserve">   Subtotal — Media &amp; broadcasting</t>
        </is>
      </c>
      <c r="B19" s="10">
        <f>SUM(B15:B18)</f>
        <v/>
      </c>
      <c r="C19" s="10">
        <f>SUM(C15:C18)</f>
        <v/>
      </c>
      <c r="D19" s="10">
        <f>SUM(D15:D18)</f>
        <v/>
      </c>
      <c r="E19" s="10">
        <f>SUM(E15:E18)</f>
        <v/>
      </c>
      <c r="F19" s="10">
        <f>SUM(F15:F18)</f>
        <v/>
      </c>
      <c r="G19" s="10">
        <f>SUM(G15:G18)</f>
        <v/>
      </c>
      <c r="H19" s="10">
        <f>SUM(H15:H18)</f>
        <v/>
      </c>
      <c r="I19" s="10">
        <f>SUM(I15:I18)</f>
        <v/>
      </c>
      <c r="J19" s="10">
        <f>SUM(J15:J18)</f>
        <v/>
      </c>
    </row>
    <row r="21">
      <c r="A21" s="5" t="inlineStr">
        <is>
          <t>Conference &amp; NCAA distributions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t="inlineStr">
        <is>
          <t xml:space="preserve">   Conference revenue distribution (non-media share)</t>
        </is>
      </c>
      <c r="B22" s="7" t="n">
        <v>350</v>
      </c>
      <c r="C22" s="8" t="n">
        <v>350</v>
      </c>
      <c r="D22" s="7" t="n">
        <v>350</v>
      </c>
      <c r="E22" s="7" t="n">
        <v>350</v>
      </c>
      <c r="F22" s="8" t="n">
        <v>350</v>
      </c>
      <c r="G22" s="7" t="n">
        <v>350</v>
      </c>
      <c r="H22" s="7" t="n">
        <v>200</v>
      </c>
      <c r="I22" s="8" t="n">
        <v>200</v>
      </c>
      <c r="J22" s="7" t="n">
        <v>200</v>
      </c>
    </row>
    <row r="23">
      <c r="A23" t="inlineStr">
        <is>
          <t xml:space="preserve">   Conference tournament revenue share</t>
        </is>
      </c>
      <c r="B23" s="7" t="n">
        <v>80</v>
      </c>
      <c r="C23" s="8" t="n">
        <v>80</v>
      </c>
      <c r="D23" s="7" t="n">
        <v>80</v>
      </c>
      <c r="E23" s="7" t="n">
        <v>80</v>
      </c>
      <c r="F23" s="8" t="n">
        <v>80</v>
      </c>
      <c r="G23" s="7" t="n">
        <v>80</v>
      </c>
      <c r="H23" s="7" t="n">
        <v>50</v>
      </c>
      <c r="I23" s="8" t="n">
        <v>50</v>
      </c>
      <c r="J23" s="7" t="n">
        <v>50</v>
      </c>
    </row>
    <row r="24">
      <c r="A24" t="inlineStr">
        <is>
          <t xml:space="preserve">   NCAA Tournament units / Perf. Fund</t>
        </is>
      </c>
      <c r="B24" s="7" t="n">
        <v>40</v>
      </c>
      <c r="C24" s="8" t="n">
        <v>570</v>
      </c>
      <c r="D24" s="7" t="n">
        <v>700</v>
      </c>
      <c r="E24" s="7" t="n">
        <v>60</v>
      </c>
      <c r="F24" s="8" t="n">
        <v>650</v>
      </c>
      <c r="G24" s="7" t="n">
        <v>800</v>
      </c>
      <c r="H24" s="7" t="n">
        <v>30</v>
      </c>
      <c r="I24" s="8" t="n">
        <v>490</v>
      </c>
      <c r="J24" s="7" t="n">
        <v>600</v>
      </c>
    </row>
    <row r="25">
      <c r="A25" t="inlineStr">
        <is>
          <t xml:space="preserve">   NCAA broad-based distributions</t>
        </is>
      </c>
      <c r="B25" s="7" t="n">
        <v>210</v>
      </c>
      <c r="C25" s="8" t="n">
        <v>210</v>
      </c>
      <c r="D25" s="7" t="n">
        <v>210</v>
      </c>
      <c r="E25" s="7" t="n">
        <v>210</v>
      </c>
      <c r="F25" s="8" t="n">
        <v>210</v>
      </c>
      <c r="G25" s="7" t="n">
        <v>210</v>
      </c>
      <c r="H25" s="7" t="n">
        <v>190</v>
      </c>
      <c r="I25" s="8" t="n">
        <v>190</v>
      </c>
      <c r="J25" s="7" t="n">
        <v>190</v>
      </c>
    </row>
    <row r="26">
      <c r="A26" s="9" t="inlineStr">
        <is>
          <t xml:space="preserve">   Subtotal — Conference &amp; NCAA distributions</t>
        </is>
      </c>
      <c r="B26" s="10">
        <f>SUM(B22:B25)</f>
        <v/>
      </c>
      <c r="C26" s="10">
        <f>SUM(C22:C25)</f>
        <v/>
      </c>
      <c r="D26" s="10">
        <f>SUM(D22:D25)</f>
        <v/>
      </c>
      <c r="E26" s="10">
        <f>SUM(E22:E25)</f>
        <v/>
      </c>
      <c r="F26" s="10">
        <f>SUM(F22:F25)</f>
        <v/>
      </c>
      <c r="G26" s="10">
        <f>SUM(G22:G25)</f>
        <v/>
      </c>
      <c r="H26" s="10">
        <f>SUM(H22:H25)</f>
        <v/>
      </c>
      <c r="I26" s="10">
        <f>SUM(I22:I25)</f>
        <v/>
      </c>
      <c r="J26" s="10">
        <f>SUM(J22:J25)</f>
        <v/>
      </c>
    </row>
    <row r="28">
      <c r="A28" s="5" t="inlineStr">
        <is>
          <t>Corporate sponsorship &amp; multimedia rights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t="inlineStr">
        <is>
          <t xml:space="preserve">   Multimedia rights guarantee (Learfield etc.)</t>
        </is>
      </c>
      <c r="B29" s="7" t="n">
        <v>90</v>
      </c>
      <c r="C29" s="8" t="n">
        <v>520</v>
      </c>
      <c r="D29" s="7" t="n">
        <v>800</v>
      </c>
      <c r="E29" s="7" t="n">
        <v>100</v>
      </c>
      <c r="F29" s="8" t="n">
        <v>580</v>
      </c>
      <c r="G29" s="7" t="n">
        <v>900</v>
      </c>
      <c r="H29" s="7" t="n">
        <v>120</v>
      </c>
      <c r="I29" s="8" t="n">
        <v>530</v>
      </c>
      <c r="J29" s="7" t="n">
        <v>800</v>
      </c>
    </row>
    <row r="30">
      <c r="A30" t="inlineStr">
        <is>
          <t xml:space="preserve">   Corporate / category sponsorships (school)</t>
        </is>
      </c>
      <c r="B30" s="7" t="n">
        <v>80</v>
      </c>
      <c r="C30" s="8" t="n">
        <v>450</v>
      </c>
      <c r="D30" s="7" t="n">
        <v>700</v>
      </c>
      <c r="E30" s="7" t="n">
        <v>90</v>
      </c>
      <c r="F30" s="8" t="n">
        <v>550</v>
      </c>
      <c r="G30" s="7" t="n">
        <v>850</v>
      </c>
      <c r="H30" s="7" t="n">
        <v>100</v>
      </c>
      <c r="I30" s="8" t="n">
        <v>460</v>
      </c>
      <c r="J30" s="7" t="n">
        <v>700</v>
      </c>
    </row>
    <row r="31">
      <c r="A31" t="inlineStr">
        <is>
          <t xml:space="preserve">   Arena / court naming rights (MBB share)</t>
        </is>
      </c>
      <c r="B31" s="7" t="n">
        <v>20</v>
      </c>
      <c r="C31" s="8" t="n">
        <v>130</v>
      </c>
      <c r="D31" s="7" t="n">
        <v>200</v>
      </c>
      <c r="E31" s="7" t="n">
        <v>20</v>
      </c>
      <c r="F31" s="8" t="n">
        <v>190</v>
      </c>
      <c r="G31" s="7" t="n">
        <v>300</v>
      </c>
      <c r="H31" s="7" t="n">
        <v>30</v>
      </c>
      <c r="I31" s="8" t="n">
        <v>160</v>
      </c>
      <c r="J31" s="7" t="n">
        <v>250</v>
      </c>
    </row>
    <row r="32">
      <c r="A32" t="inlineStr">
        <is>
          <t xml:space="preserve">   Signage / LED / in-arena advertising</t>
        </is>
      </c>
      <c r="B32" s="7" t="n">
        <v>30</v>
      </c>
      <c r="C32" s="8" t="n">
        <v>190</v>
      </c>
      <c r="D32" s="7" t="n">
        <v>300</v>
      </c>
      <c r="E32" s="7" t="n">
        <v>40</v>
      </c>
      <c r="F32" s="8" t="n">
        <v>230</v>
      </c>
      <c r="G32" s="7" t="n">
        <v>350</v>
      </c>
      <c r="H32" s="7" t="n">
        <v>40</v>
      </c>
      <c r="I32" s="8" t="n">
        <v>200</v>
      </c>
      <c r="J32" s="7" t="n">
        <v>300</v>
      </c>
    </row>
    <row r="33">
      <c r="A33" t="inlineStr">
        <is>
          <t xml:space="preserve">   Jersey patch (school; national patch = Bkt2)</t>
        </is>
      </c>
      <c r="B33" s="7" t="n">
        <v>0</v>
      </c>
      <c r="C33" s="8" t="n">
        <v>90</v>
      </c>
      <c r="D33" s="7" t="n">
        <v>150</v>
      </c>
      <c r="E33" s="7" t="n">
        <v>0</v>
      </c>
      <c r="F33" s="8" t="n">
        <v>120</v>
      </c>
      <c r="G33" s="7" t="n">
        <v>200</v>
      </c>
      <c r="H33" s="7" t="n">
        <v>0</v>
      </c>
      <c r="I33" s="8" t="n">
        <v>70</v>
      </c>
      <c r="J33" s="7" t="n">
        <v>120</v>
      </c>
    </row>
    <row r="34">
      <c r="A34" t="inlineStr">
        <is>
          <t xml:space="preserve">   Coach's show / radio show sponsorship</t>
        </is>
      </c>
      <c r="B34" s="7" t="n">
        <v>10</v>
      </c>
      <c r="C34" s="8" t="n">
        <v>90</v>
      </c>
      <c r="D34" s="7" t="n">
        <v>150</v>
      </c>
      <c r="E34" s="7" t="n">
        <v>20</v>
      </c>
      <c r="F34" s="8" t="n">
        <v>120</v>
      </c>
      <c r="G34" s="7" t="n">
        <v>180</v>
      </c>
      <c r="H34" s="7" t="n">
        <v>10</v>
      </c>
      <c r="I34" s="8" t="n">
        <v>80</v>
      </c>
      <c r="J34" s="7" t="n">
        <v>120</v>
      </c>
    </row>
    <row r="35">
      <c r="A35" t="inlineStr">
        <is>
          <t xml:space="preserve">   Digital &amp; social sponsorship (national = Bkt2)</t>
        </is>
      </c>
      <c r="B35" s="7" t="n">
        <v>10</v>
      </c>
      <c r="C35" s="8" t="n">
        <v>90</v>
      </c>
      <c r="D35" s="7" t="n">
        <v>150</v>
      </c>
      <c r="E35" s="7" t="n">
        <v>10</v>
      </c>
      <c r="F35" s="8" t="n">
        <v>120</v>
      </c>
      <c r="G35" s="7" t="n">
        <v>200</v>
      </c>
      <c r="H35" s="7" t="n">
        <v>10</v>
      </c>
      <c r="I35" s="8" t="n">
        <v>80</v>
      </c>
      <c r="J35" s="7" t="n">
        <v>120</v>
      </c>
    </row>
    <row r="36">
      <c r="A36" s="9" t="inlineStr">
        <is>
          <t xml:space="preserve">   Subtotal — Corporate sponsorship &amp; multimedia rights</t>
        </is>
      </c>
      <c r="B36" s="10">
        <f>SUM(B29:B35)</f>
        <v/>
      </c>
      <c r="C36" s="10">
        <f>SUM(C29:C35)</f>
        <v/>
      </c>
      <c r="D36" s="10">
        <f>SUM(D29:D35)</f>
        <v/>
      </c>
      <c r="E36" s="10">
        <f>SUM(E29:E35)</f>
        <v/>
      </c>
      <c r="F36" s="10">
        <f>SUM(F29:F35)</f>
        <v/>
      </c>
      <c r="G36" s="10">
        <f>SUM(G29:G35)</f>
        <v/>
      </c>
      <c r="H36" s="10">
        <f>SUM(H29:H35)</f>
        <v/>
      </c>
      <c r="I36" s="10">
        <f>SUM(I29:I35)</f>
        <v/>
      </c>
      <c r="J36" s="10">
        <f>SUM(J29:J35)</f>
        <v/>
      </c>
    </row>
    <row r="38">
      <c r="A38" s="5" t="inlineStr">
        <is>
          <t>Philanthropy &amp; donor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t="inlineStr">
        <is>
          <t xml:space="preserve">   Annual fund / booster donations</t>
        </is>
      </c>
      <c r="B39" s="7" t="n">
        <v>180</v>
      </c>
      <c r="C39" s="8" t="n">
        <v>740</v>
      </c>
      <c r="D39" s="7" t="n">
        <v>1200</v>
      </c>
      <c r="E39" s="7" t="n">
        <v>270</v>
      </c>
      <c r="F39" s="8" t="n">
        <v>1110</v>
      </c>
      <c r="G39" s="7" t="n">
        <v>1800</v>
      </c>
      <c r="H39" s="7" t="n">
        <v>150</v>
      </c>
      <c r="I39" s="8" t="n">
        <v>620</v>
      </c>
      <c r="J39" s="7" t="n">
        <v>1000</v>
      </c>
    </row>
    <row r="40">
      <c r="A40" t="inlineStr">
        <is>
          <t xml:space="preserve">   Seat-related required donations (PSLs)</t>
        </is>
      </c>
      <c r="B40" s="7" t="n">
        <v>90</v>
      </c>
      <c r="C40" s="8" t="n">
        <v>480</v>
      </c>
      <c r="D40" s="7" t="n">
        <v>800</v>
      </c>
      <c r="E40" s="7" t="n">
        <v>150</v>
      </c>
      <c r="F40" s="8" t="n">
        <v>730</v>
      </c>
      <c r="G40" s="7" t="n">
        <v>1200</v>
      </c>
      <c r="H40" s="7" t="n">
        <v>60</v>
      </c>
      <c r="I40" s="8" t="n">
        <v>410</v>
      </c>
      <c r="J40" s="7" t="n">
        <v>700</v>
      </c>
    </row>
    <row r="41">
      <c r="A41" t="inlineStr">
        <is>
          <t xml:space="preserve">   Major gifts &amp; endowment (MBB-specific)</t>
        </is>
      </c>
      <c r="B41" s="7" t="n">
        <v>60</v>
      </c>
      <c r="C41" s="8" t="n">
        <v>580</v>
      </c>
      <c r="D41" s="7" t="n">
        <v>1000</v>
      </c>
      <c r="E41" s="7" t="n">
        <v>120</v>
      </c>
      <c r="F41" s="8" t="n">
        <v>880</v>
      </c>
      <c r="G41" s="7" t="n">
        <v>1500</v>
      </c>
      <c r="H41" s="7" t="n">
        <v>40</v>
      </c>
      <c r="I41" s="8" t="n">
        <v>510</v>
      </c>
      <c r="J41" s="7" t="n">
        <v>900</v>
      </c>
    </row>
    <row r="42">
      <c r="A42" t="inlineStr">
        <is>
          <t xml:space="preserve">   Capital-campaign gifts (facilities)</t>
        </is>
      </c>
      <c r="B42" s="7" t="n">
        <v>30</v>
      </c>
      <c r="C42" s="8" t="n">
        <v>230</v>
      </c>
      <c r="D42" s="7" t="n">
        <v>400</v>
      </c>
      <c r="E42" s="7" t="n">
        <v>60</v>
      </c>
      <c r="F42" s="8" t="n">
        <v>410</v>
      </c>
      <c r="G42" s="7" t="n">
        <v>700</v>
      </c>
      <c r="H42" s="7" t="n">
        <v>30</v>
      </c>
      <c r="I42" s="8" t="n">
        <v>290</v>
      </c>
      <c r="J42" s="7" t="n">
        <v>500</v>
      </c>
    </row>
    <row r="43">
      <c r="A43" t="inlineStr">
        <is>
          <t xml:space="preserve">   Collective / NIL donor contributions</t>
        </is>
      </c>
      <c r="B43" s="7" t="n">
        <v>90</v>
      </c>
      <c r="C43" s="8" t="n">
        <v>700</v>
      </c>
      <c r="D43" s="7" t="n">
        <v>1200</v>
      </c>
      <c r="E43" s="7" t="n">
        <v>150</v>
      </c>
      <c r="F43" s="8" t="n">
        <v>890</v>
      </c>
      <c r="G43" s="7" t="n">
        <v>1500</v>
      </c>
      <c r="H43" s="7" t="n">
        <v>80</v>
      </c>
      <c r="I43" s="8" t="n">
        <v>590</v>
      </c>
      <c r="J43" s="7" t="n">
        <v>1000</v>
      </c>
    </row>
    <row r="44">
      <c r="A44" s="9" t="inlineStr">
        <is>
          <t xml:space="preserve">   Subtotal — Philanthropy &amp; donor</t>
        </is>
      </c>
      <c r="B44" s="10">
        <f>SUM(B39:B43)</f>
        <v/>
      </c>
      <c r="C44" s="10">
        <f>SUM(C39:C43)</f>
        <v/>
      </c>
      <c r="D44" s="10">
        <f>SUM(D39:D43)</f>
        <v/>
      </c>
      <c r="E44" s="10">
        <f>SUM(E39:E43)</f>
        <v/>
      </c>
      <c r="F44" s="10">
        <f>SUM(F39:F43)</f>
        <v/>
      </c>
      <c r="G44" s="10">
        <f>SUM(G39:G43)</f>
        <v/>
      </c>
      <c r="H44" s="10">
        <f>SUM(H39:H43)</f>
        <v/>
      </c>
      <c r="I44" s="10">
        <f>SUM(I39:I43)</f>
        <v/>
      </c>
      <c r="J44" s="10">
        <f>SUM(J39:J43)</f>
        <v/>
      </c>
    </row>
    <row r="46">
      <c r="A46" s="5" t="inlineStr">
        <is>
          <t>Apparel &amp; licensing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t="inlineStr">
        <is>
          <t xml:space="preserve">   Shoe/apparel contract (cash + product)</t>
        </is>
      </c>
      <c r="B47" s="7" t="n">
        <v>200</v>
      </c>
      <c r="C47" s="8" t="n">
        <v>200</v>
      </c>
      <c r="D47" s="7" t="n">
        <v>200</v>
      </c>
      <c r="E47" s="7" t="n">
        <v>300</v>
      </c>
      <c r="F47" s="8" t="n">
        <v>300</v>
      </c>
      <c r="G47" s="7" t="n">
        <v>300</v>
      </c>
      <c r="H47" s="7" t="n">
        <v>150</v>
      </c>
      <c r="I47" s="8" t="n">
        <v>150</v>
      </c>
      <c r="J47" s="7" t="n">
        <v>150</v>
      </c>
    </row>
    <row r="48">
      <c r="A48" t="inlineStr">
        <is>
          <t xml:space="preserve">   Trademark / logo licensing royalties</t>
        </is>
      </c>
      <c r="B48" s="7" t="n">
        <v>10</v>
      </c>
      <c r="C48" s="8" t="n">
        <v>240</v>
      </c>
      <c r="D48" s="7" t="n">
        <v>400</v>
      </c>
      <c r="E48" s="7" t="n">
        <v>20</v>
      </c>
      <c r="F48" s="8" t="n">
        <v>370</v>
      </c>
      <c r="G48" s="7" t="n">
        <v>600</v>
      </c>
      <c r="H48" s="7" t="n">
        <v>10</v>
      </c>
      <c r="I48" s="8" t="n">
        <v>180</v>
      </c>
      <c r="J48" s="7" t="n">
        <v>300</v>
      </c>
    </row>
    <row r="49">
      <c r="A49" t="inlineStr">
        <is>
          <t xml:space="preserve">   Team retail merchandise sales</t>
        </is>
      </c>
      <c r="B49" s="7" t="n">
        <v>30</v>
      </c>
      <c r="C49" s="8" t="n">
        <v>490</v>
      </c>
      <c r="D49" s="7" t="n">
        <v>800</v>
      </c>
      <c r="E49" s="7" t="n">
        <v>40</v>
      </c>
      <c r="F49" s="8" t="n">
        <v>620</v>
      </c>
      <c r="G49" s="7" t="n">
        <v>1000</v>
      </c>
      <c r="H49" s="7" t="n">
        <v>40</v>
      </c>
      <c r="I49" s="8" t="n">
        <v>380</v>
      </c>
      <c r="J49" s="7" t="n">
        <v>600</v>
      </c>
    </row>
    <row r="50">
      <c r="A50" t="inlineStr">
        <is>
          <t xml:space="preserve">   Video-game / EA royalties</t>
        </is>
      </c>
      <c r="B50" s="7" t="n">
        <v>10</v>
      </c>
      <c r="C50" s="8" t="n">
        <v>60</v>
      </c>
      <c r="D50" s="7" t="n">
        <v>100</v>
      </c>
      <c r="E50" s="7" t="n">
        <v>10</v>
      </c>
      <c r="F50" s="8" t="n">
        <v>90</v>
      </c>
      <c r="G50" s="7" t="n">
        <v>150</v>
      </c>
      <c r="H50" s="7" t="n">
        <v>10</v>
      </c>
      <c r="I50" s="8" t="n">
        <v>50</v>
      </c>
      <c r="J50" s="7" t="n">
        <v>80</v>
      </c>
    </row>
    <row r="51">
      <c r="A51" s="9" t="inlineStr">
        <is>
          <t xml:space="preserve">   Subtotal — Apparel &amp; licensing</t>
        </is>
      </c>
      <c r="B51" s="10">
        <f>SUM(B47:B50)</f>
        <v/>
      </c>
      <c r="C51" s="10">
        <f>SUM(C47:C50)</f>
        <v/>
      </c>
      <c r="D51" s="10">
        <f>SUM(D47:D50)</f>
        <v/>
      </c>
      <c r="E51" s="10">
        <f>SUM(E47:E50)</f>
        <v/>
      </c>
      <c r="F51" s="10">
        <f>SUM(F47:F50)</f>
        <v/>
      </c>
      <c r="G51" s="10">
        <f>SUM(G47:G50)</f>
        <v/>
      </c>
      <c r="H51" s="10">
        <f>SUM(H47:H50)</f>
        <v/>
      </c>
      <c r="I51" s="10">
        <f>SUM(I47:I50)</f>
        <v/>
      </c>
      <c r="J51" s="10">
        <f>SUM(J47:J50)</f>
        <v/>
      </c>
    </row>
    <row r="53">
      <c r="A53" s="5" t="inlineStr">
        <is>
          <t>Guarantees &amp; scheduling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t="inlineStr">
        <is>
          <t xml:space="preserve">   Guarantee ('buy') game income</t>
        </is>
      </c>
      <c r="B54" s="7" t="n">
        <v>90</v>
      </c>
      <c r="C54" s="8" t="n">
        <v>410</v>
      </c>
      <c r="D54" s="7" t="n">
        <v>600</v>
      </c>
      <c r="E54" s="7" t="n">
        <v>90</v>
      </c>
      <c r="F54" s="8" t="n">
        <v>410</v>
      </c>
      <c r="G54" s="7" t="n">
        <v>600</v>
      </c>
      <c r="H54" s="7" t="n">
        <v>120</v>
      </c>
      <c r="I54" s="8" t="n">
        <v>360</v>
      </c>
      <c r="J54" s="7" t="n">
        <v>500</v>
      </c>
    </row>
    <row r="55">
      <c r="A55" t="inlineStr">
        <is>
          <t xml:space="preserve">   Neutral-site / MTE appearance fees</t>
        </is>
      </c>
      <c r="B55" s="7" t="n">
        <v>30</v>
      </c>
      <c r="C55" s="8" t="n">
        <v>510</v>
      </c>
      <c r="D55" s="7" t="n">
        <v>800</v>
      </c>
      <c r="E55" s="7" t="n">
        <v>40</v>
      </c>
      <c r="F55" s="8" t="n">
        <v>570</v>
      </c>
      <c r="G55" s="7" t="n">
        <v>900</v>
      </c>
      <c r="H55" s="7" t="n">
        <v>90</v>
      </c>
      <c r="I55" s="8" t="n">
        <v>470</v>
      </c>
      <c r="J55" s="7" t="n">
        <v>700</v>
      </c>
    </row>
    <row r="56">
      <c r="A56" t="inlineStr">
        <is>
          <t xml:space="preserve">   Early-season / holiday tournament payouts</t>
        </is>
      </c>
      <c r="B56" s="7" t="n">
        <v>20</v>
      </c>
      <c r="C56" s="8" t="n">
        <v>260</v>
      </c>
      <c r="D56" s="7" t="n">
        <v>400</v>
      </c>
      <c r="E56" s="7" t="n">
        <v>30</v>
      </c>
      <c r="F56" s="8" t="n">
        <v>320</v>
      </c>
      <c r="G56" s="7" t="n">
        <v>500</v>
      </c>
      <c r="H56" s="7" t="n">
        <v>40</v>
      </c>
      <c r="I56" s="8" t="n">
        <v>260</v>
      </c>
      <c r="J56" s="7" t="n">
        <v>400</v>
      </c>
    </row>
    <row r="57">
      <c r="A57" t="inlineStr">
        <is>
          <t xml:space="preserve">   Exhibition / charity game revenue</t>
        </is>
      </c>
      <c r="B57" s="7" t="n">
        <v>10</v>
      </c>
      <c r="C57" s="8" t="n">
        <v>70</v>
      </c>
      <c r="D57" s="7" t="n">
        <v>100</v>
      </c>
      <c r="E57" s="7" t="n">
        <v>10</v>
      </c>
      <c r="F57" s="8" t="n">
        <v>80</v>
      </c>
      <c r="G57" s="7" t="n">
        <v>120</v>
      </c>
      <c r="H57" s="7" t="n">
        <v>10</v>
      </c>
      <c r="I57" s="8" t="n">
        <v>50</v>
      </c>
      <c r="J57" s="7" t="n">
        <v>80</v>
      </c>
    </row>
    <row r="58">
      <c r="A58" s="9" t="inlineStr">
        <is>
          <t xml:space="preserve">   Subtotal — Guarantees &amp; scheduling</t>
        </is>
      </c>
      <c r="B58" s="10">
        <f>SUM(B54:B57)</f>
        <v/>
      </c>
      <c r="C58" s="10">
        <f>SUM(C54:C57)</f>
        <v/>
      </c>
      <c r="D58" s="10">
        <f>SUM(D54:D57)</f>
        <v/>
      </c>
      <c r="E58" s="10">
        <f>SUM(E54:E57)</f>
        <v/>
      </c>
      <c r="F58" s="10">
        <f>SUM(F54:F57)</f>
        <v/>
      </c>
      <c r="G58" s="10">
        <f>SUM(G54:G57)</f>
        <v/>
      </c>
      <c r="H58" s="10">
        <f>SUM(H54:H57)</f>
        <v/>
      </c>
      <c r="I58" s="10">
        <f>SUM(I54:I57)</f>
        <v/>
      </c>
      <c r="J58" s="10">
        <f>SUM(J54:J57)</f>
        <v/>
      </c>
    </row>
    <row r="60">
      <c r="A60" s="5" t="inlineStr">
        <is>
          <t>Camps, clinics &amp; operations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t="inlineStr">
        <is>
          <t xml:space="preserve">   Basketball camps &amp; clinics revenue</t>
        </is>
      </c>
      <c r="B61" s="7" t="n">
        <v>40</v>
      </c>
      <c r="C61" s="8" t="n">
        <v>270</v>
      </c>
      <c r="D61" s="7" t="n">
        <v>400</v>
      </c>
      <c r="E61" s="7" t="n">
        <v>60</v>
      </c>
      <c r="F61" s="8" t="n">
        <v>350</v>
      </c>
      <c r="G61" s="7" t="n">
        <v>500</v>
      </c>
      <c r="H61" s="7" t="n">
        <v>40</v>
      </c>
      <c r="I61" s="8" t="n">
        <v>240</v>
      </c>
      <c r="J61" s="7" t="n">
        <v>350</v>
      </c>
    </row>
    <row r="62">
      <c r="A62" t="inlineStr">
        <is>
          <t xml:space="preserve">   Coach's camps</t>
        </is>
      </c>
      <c r="B62" s="7" t="n">
        <v>20</v>
      </c>
      <c r="C62" s="8" t="n">
        <v>140</v>
      </c>
      <c r="D62" s="7" t="n">
        <v>200</v>
      </c>
      <c r="E62" s="7" t="n">
        <v>30</v>
      </c>
      <c r="F62" s="8" t="n">
        <v>170</v>
      </c>
      <c r="G62" s="7" t="n">
        <v>250</v>
      </c>
      <c r="H62" s="7" t="n">
        <v>20</v>
      </c>
      <c r="I62" s="8" t="n">
        <v>100</v>
      </c>
      <c r="J62" s="7" t="n">
        <v>150</v>
      </c>
    </row>
    <row r="63">
      <c r="A63" t="inlineStr">
        <is>
          <t xml:space="preserve">   Facility rentals (MBB-allocated)</t>
        </is>
      </c>
      <c r="B63" s="7" t="n">
        <v>20</v>
      </c>
      <c r="C63" s="8" t="n">
        <v>100</v>
      </c>
      <c r="D63" s="7" t="n">
        <v>150</v>
      </c>
      <c r="E63" s="7" t="n">
        <v>20</v>
      </c>
      <c r="F63" s="8" t="n">
        <v>120</v>
      </c>
      <c r="G63" s="7" t="n">
        <v>180</v>
      </c>
      <c r="H63" s="7" t="n">
        <v>30</v>
      </c>
      <c r="I63" s="8" t="n">
        <v>170</v>
      </c>
      <c r="J63" s="7" t="n">
        <v>250</v>
      </c>
    </row>
    <row r="64">
      <c r="A64" s="9" t="inlineStr">
        <is>
          <t xml:space="preserve">   Subtotal — Camps, clinics &amp; operations</t>
        </is>
      </c>
      <c r="B64" s="10">
        <f>SUM(B61:B63)</f>
        <v/>
      </c>
      <c r="C64" s="10">
        <f>SUM(C61:C63)</f>
        <v/>
      </c>
      <c r="D64" s="10">
        <f>SUM(D61:D63)</f>
        <v/>
      </c>
      <c r="E64" s="10">
        <f>SUM(E61:E63)</f>
        <v/>
      </c>
      <c r="F64" s="10">
        <f>SUM(F61:F63)</f>
        <v/>
      </c>
      <c r="G64" s="10">
        <f>SUM(G61:G63)</f>
        <v/>
      </c>
      <c r="H64" s="10">
        <f>SUM(H61:H63)</f>
        <v/>
      </c>
      <c r="I64" s="10">
        <f>SUM(I61:I63)</f>
        <v/>
      </c>
      <c r="J64" s="10">
        <f>SUM(J61:J63)</f>
        <v/>
      </c>
    </row>
    <row r="66">
      <c r="A66" s="5" t="inlineStr">
        <is>
          <t>Institutional &amp; other support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t="inlineStr">
        <is>
          <t xml:space="preserve">   Direct institutional / university support</t>
        </is>
      </c>
      <c r="B67" s="7" t="n">
        <v>240</v>
      </c>
      <c r="C67" s="8" t="n">
        <v>320</v>
      </c>
      <c r="D67" s="7" t="n">
        <v>400</v>
      </c>
      <c r="E67" s="7" t="n">
        <v>180</v>
      </c>
      <c r="F67" s="8" t="n">
        <v>240</v>
      </c>
      <c r="G67" s="7" t="n">
        <v>300</v>
      </c>
      <c r="H67" s="7" t="n">
        <v>360</v>
      </c>
      <c r="I67" s="8" t="n">
        <v>530</v>
      </c>
      <c r="J67" s="7" t="n">
        <v>700</v>
      </c>
    </row>
    <row r="68">
      <c r="A68" t="inlineStr">
        <is>
          <t xml:space="preserve">   Student-fee allocation</t>
        </is>
      </c>
      <c r="B68" s="7" t="n">
        <v>60</v>
      </c>
      <c r="C68" s="8" t="n">
        <v>80</v>
      </c>
      <c r="D68" s="7" t="n">
        <v>100</v>
      </c>
      <c r="E68" s="7" t="n">
        <v>30</v>
      </c>
      <c r="F68" s="8" t="n">
        <v>40</v>
      </c>
      <c r="G68" s="7" t="n">
        <v>50</v>
      </c>
      <c r="H68" s="7" t="n">
        <v>180</v>
      </c>
      <c r="I68" s="8" t="n">
        <v>290</v>
      </c>
      <c r="J68" s="7" t="n">
        <v>400</v>
      </c>
    </row>
    <row r="69">
      <c r="A69" t="inlineStr">
        <is>
          <t xml:space="preserve">   Direct state / government support</t>
        </is>
      </c>
      <c r="B69" s="7" t="n">
        <v>0</v>
      </c>
      <c r="C69" s="8" t="n">
        <v>0</v>
      </c>
      <c r="D69" s="7" t="n">
        <v>0</v>
      </c>
      <c r="E69" s="7" t="n">
        <v>0</v>
      </c>
      <c r="F69" s="8" t="n">
        <v>0</v>
      </c>
      <c r="G69" s="7" t="n">
        <v>0</v>
      </c>
      <c r="H69" s="7" t="n">
        <v>240</v>
      </c>
      <c r="I69" s="8" t="n">
        <v>420</v>
      </c>
      <c r="J69" s="7" t="n">
        <v>600</v>
      </c>
    </row>
    <row r="70">
      <c r="A70" t="inlineStr">
        <is>
          <t xml:space="preserve">   Athletics endowment / investment income</t>
        </is>
      </c>
      <c r="B70" s="7" t="n">
        <v>30</v>
      </c>
      <c r="C70" s="8" t="n">
        <v>90</v>
      </c>
      <c r="D70" s="7" t="n">
        <v>150</v>
      </c>
      <c r="E70" s="7" t="n">
        <v>90</v>
      </c>
      <c r="F70" s="8" t="n">
        <v>240</v>
      </c>
      <c r="G70" s="7" t="n">
        <v>400</v>
      </c>
      <c r="H70" s="7" t="n">
        <v>20</v>
      </c>
      <c r="I70" s="8" t="n">
        <v>50</v>
      </c>
      <c r="J70" s="7" t="n">
        <v>80</v>
      </c>
    </row>
    <row r="71">
      <c r="A71" t="inlineStr">
        <is>
          <t xml:space="preserve">   Third-party in-kind &amp; third-party-paid comp</t>
        </is>
      </c>
      <c r="B71" s="7" t="n">
        <v>20</v>
      </c>
      <c r="C71" s="8" t="n">
        <v>60</v>
      </c>
      <c r="D71" s="7" t="n">
        <v>100</v>
      </c>
      <c r="E71" s="7" t="n">
        <v>20</v>
      </c>
      <c r="F71" s="8" t="n">
        <v>80</v>
      </c>
      <c r="G71" s="7" t="n">
        <v>150</v>
      </c>
      <c r="H71" s="7" t="n">
        <v>20</v>
      </c>
      <c r="I71" s="8" t="n">
        <v>70</v>
      </c>
      <c r="J71" s="7" t="n">
        <v>120</v>
      </c>
    </row>
    <row r="72">
      <c r="A72" t="inlineStr">
        <is>
          <t xml:space="preserve">   Other / misc operating revenue</t>
        </is>
      </c>
      <c r="B72" s="7" t="n">
        <v>20</v>
      </c>
      <c r="C72" s="8" t="n">
        <v>60</v>
      </c>
      <c r="D72" s="7" t="n">
        <v>100</v>
      </c>
      <c r="E72" s="7" t="n">
        <v>20</v>
      </c>
      <c r="F72" s="8" t="n">
        <v>70</v>
      </c>
      <c r="G72" s="7" t="n">
        <v>120</v>
      </c>
      <c r="H72" s="7" t="n">
        <v>20</v>
      </c>
      <c r="I72" s="8" t="n">
        <v>60</v>
      </c>
      <c r="J72" s="7" t="n">
        <v>100</v>
      </c>
    </row>
    <row r="73">
      <c r="A73" s="9" t="inlineStr">
        <is>
          <t xml:space="preserve">   Subtotal — Institutional &amp; other support</t>
        </is>
      </c>
      <c r="B73" s="10">
        <f>SUM(B67:B72)</f>
        <v/>
      </c>
      <c r="C73" s="10">
        <f>SUM(C67:C72)</f>
        <v/>
      </c>
      <c r="D73" s="10">
        <f>SUM(D67:D72)</f>
        <v/>
      </c>
      <c r="E73" s="10">
        <f>SUM(E67:E72)</f>
        <v/>
      </c>
      <c r="F73" s="10">
        <f>SUM(F67:F72)</f>
        <v/>
      </c>
      <c r="G73" s="10">
        <f>SUM(G67:G72)</f>
        <v/>
      </c>
      <c r="H73" s="10">
        <f>SUM(H67:H72)</f>
        <v/>
      </c>
      <c r="I73" s="10">
        <f>SUM(I67:I72)</f>
        <v/>
      </c>
      <c r="J73" s="10">
        <f>SUM(J67:J72)</f>
        <v/>
      </c>
    </row>
    <row r="75">
      <c r="A75" s="5" t="inlineStr">
        <is>
          <t>NIL / rev-share era  (memo — NOT program revenue; see per-line notes)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t="inlineStr">
        <is>
          <t xml:space="preserve">   Third-party athlete NIL income (memo — athletes' own $, not SPV rev/cost)</t>
        </is>
      </c>
      <c r="B76" s="7" t="n">
        <v>30</v>
      </c>
      <c r="C76" s="8" t="n">
        <v>990</v>
      </c>
      <c r="D76" s="7" t="n">
        <v>1500</v>
      </c>
      <c r="E76" s="7" t="n">
        <v>40</v>
      </c>
      <c r="F76" s="8" t="n">
        <v>1310</v>
      </c>
      <c r="G76" s="7" t="n">
        <v>2000</v>
      </c>
      <c r="H76" s="7" t="n">
        <v>20</v>
      </c>
      <c r="I76" s="8" t="n">
        <v>660</v>
      </c>
      <c r="J76" s="7" t="n">
        <v>1000</v>
      </c>
    </row>
    <row r="77">
      <c r="A77" t="inlineStr">
        <is>
          <t xml:space="preserve">   Athlete marketing / activation (SPV-produced = Bucket 2)</t>
        </is>
      </c>
      <c r="B77" s="7" t="n">
        <v>20</v>
      </c>
      <c r="C77" s="8" t="n">
        <v>530</v>
      </c>
      <c r="D77" s="7" t="n">
        <v>800</v>
      </c>
      <c r="E77" s="7" t="n">
        <v>30</v>
      </c>
      <c r="F77" s="8" t="n">
        <v>660</v>
      </c>
      <c r="G77" s="7" t="n">
        <v>1000</v>
      </c>
      <c r="H77" s="7" t="n">
        <v>10</v>
      </c>
      <c r="I77" s="8" t="n">
        <v>390</v>
      </c>
      <c r="J77" s="7" t="n">
        <v>600</v>
      </c>
    </row>
    <row r="78">
      <c r="A78" t="inlineStr">
        <is>
          <t xml:space="preserve">   House-settlement rev-share pool (SPV-funded roster COST)</t>
        </is>
      </c>
      <c r="B78" s="7" t="n">
        <v>0</v>
      </c>
      <c r="C78" s="8" t="n">
        <v>1620</v>
      </c>
      <c r="D78" s="7" t="n">
        <v>2500</v>
      </c>
      <c r="E78" s="7" t="n">
        <v>0</v>
      </c>
      <c r="F78" s="8" t="n">
        <v>1620</v>
      </c>
      <c r="G78" s="7" t="n">
        <v>2500</v>
      </c>
      <c r="H78" s="7" t="n">
        <v>0</v>
      </c>
      <c r="I78" s="8" t="n">
        <v>1620</v>
      </c>
      <c r="J78" s="7" t="n">
        <v>2500</v>
      </c>
    </row>
    <row r="79">
      <c r="A79" s="9" t="inlineStr">
        <is>
          <t xml:space="preserve">   Subtotal — NIL / rev-share era</t>
        </is>
      </c>
      <c r="B79" s="10">
        <f>SUM(B76:B78)</f>
        <v/>
      </c>
      <c r="C79" s="10">
        <f>SUM(C76:C78)</f>
        <v/>
      </c>
      <c r="D79" s="10">
        <f>SUM(D76:D78)</f>
        <v/>
      </c>
      <c r="E79" s="10">
        <f>SUM(E76:E78)</f>
        <v/>
      </c>
      <c r="F79" s="10">
        <f>SUM(F76:F78)</f>
        <v/>
      </c>
      <c r="G79" s="10">
        <f>SUM(G76:G78)</f>
        <v/>
      </c>
      <c r="H79" s="10">
        <f>SUM(H76:H78)</f>
        <v/>
      </c>
      <c r="I79" s="10">
        <f>SUM(I76:I78)</f>
        <v/>
      </c>
      <c r="J79" s="10">
        <f>SUM(J76:J78)</f>
        <v/>
      </c>
    </row>
    <row r="81">
      <c r="A81" s="11" t="inlineStr">
        <is>
          <t>PROGRAM REVENUE  (categories 1–9, excl. NIL)  = the total baseline</t>
        </is>
      </c>
      <c r="B81" s="12">
        <f>B12+B19+B26+B36+B44+B51+B58+B64+B73</f>
        <v/>
      </c>
      <c r="C81" s="12">
        <f>C12+C19+C26+C36+C44+C51+C58+C64+C73</f>
        <v/>
      </c>
      <c r="D81" s="12">
        <f>D12+D19+D26+D36+D44+D51+D58+D64+D73</f>
        <v/>
      </c>
      <c r="E81" s="12">
        <f>E12+E19+E26+E36+E44+E51+E58+E64+E73</f>
        <v/>
      </c>
      <c r="F81" s="12">
        <f>F12+F19+F26+F36+F44+F51+F58+F64+F73</f>
        <v/>
      </c>
      <c r="G81" s="12">
        <f>G12+G19+G26+G36+G44+G51+G58+G64+G73</f>
        <v/>
      </c>
      <c r="H81" s="12">
        <f>H12+H19+H26+H36+H44+H51+H58+H64+H73</f>
        <v/>
      </c>
      <c r="I81" s="12">
        <f>I12+I19+I26+I36+I44+I51+I58+I64+I73</f>
        <v/>
      </c>
      <c r="J81" s="12">
        <f>J12+J19+J26+J36+J44+J51+J58+J64+J73</f>
        <v/>
      </c>
    </row>
    <row r="82">
      <c r="A82" s="13" t="inlineStr">
        <is>
          <t>NIL / rev-share funding  (memo — SPV-funded cost)</t>
        </is>
      </c>
      <c r="B82" s="14">
        <f>B79</f>
        <v/>
      </c>
      <c r="C82" s="14">
        <f>C79</f>
        <v/>
      </c>
      <c r="D82" s="14">
        <f>D79</f>
        <v/>
      </c>
      <c r="E82" s="14">
        <f>E79</f>
        <v/>
      </c>
      <c r="F82" s="14">
        <f>F79</f>
        <v/>
      </c>
      <c r="G82" s="14">
        <f>G79</f>
        <v/>
      </c>
      <c r="H82" s="14">
        <f>H79</f>
        <v/>
      </c>
      <c r="I82" s="14">
        <f>I79</f>
        <v/>
      </c>
      <c r="J82" s="14">
        <f>J79</f>
        <v/>
      </c>
    </row>
    <row r="84">
      <c r="A84" s="15" t="inlineStr">
        <is>
          <t>SPV ECONOMICS  (Bucket 1 above baseline, 80/20; baseline = total current revenue, one lump)</t>
        </is>
      </c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</row>
    <row r="85" ht="26" customHeight="1">
      <c r="A85" s="17" t="inlineStr"/>
      <c r="B85" s="17" t="inlineStr">
        <is>
          <t>Baseline (total curr.)</t>
        </is>
      </c>
      <c r="C85" s="17" t="inlineStr">
        <is>
          <t>Bucket 1 Base w/MC</t>
        </is>
      </c>
      <c r="D85" s="17" t="inlineStr">
        <is>
          <t>Bucket 1 Reach w/MC</t>
        </is>
      </c>
      <c r="E85" s="17" t="inlineStr">
        <is>
          <t>SPV 80% Base</t>
        </is>
      </c>
      <c r="F85" s="17" t="inlineStr">
        <is>
          <t>SPV 80% Reach</t>
        </is>
      </c>
      <c r="G85" s="17" t="inlineStr">
        <is>
          <t>School keeps Base</t>
        </is>
      </c>
      <c r="H85" s="17" t="inlineStr">
        <is>
          <t>School keeps Reach</t>
        </is>
      </c>
      <c r="I85" s="17" t="inlineStr"/>
      <c r="J85" s="17" t="inlineStr"/>
    </row>
    <row r="86">
      <c r="A86" s="18" t="inlineStr">
        <is>
          <t>St. Joseph's</t>
        </is>
      </c>
      <c r="B86" s="19">
        <f>B81</f>
        <v/>
      </c>
      <c r="C86" s="19">
        <f>C12+C19+C36+C51+C58+C64</f>
        <v/>
      </c>
      <c r="D86" s="19">
        <f>D12+D19+D36+D51+D58+D64</f>
        <v/>
      </c>
      <c r="E86" s="20">
        <f>0.8*(C86-B86)</f>
        <v/>
      </c>
      <c r="F86" s="21">
        <f>0.8*(D86-B86)</f>
        <v/>
      </c>
      <c r="G86" s="19">
        <f>B86+0.2*(C86-B86)</f>
        <v/>
      </c>
      <c r="H86" s="19">
        <f>B86+0.2*(D86-B86)</f>
        <v/>
      </c>
    </row>
    <row r="87">
      <c r="A87" s="18" t="inlineStr">
        <is>
          <t>Davidson</t>
        </is>
      </c>
      <c r="B87" s="19">
        <f>E81</f>
        <v/>
      </c>
      <c r="C87" s="19">
        <f>F12+F19+F36+F51+F58+F64</f>
        <v/>
      </c>
      <c r="D87" s="19">
        <f>G12+G19+G36+G51+G58+G64</f>
        <v/>
      </c>
      <c r="E87" s="20">
        <f>0.8*(C87-B87)</f>
        <v/>
      </c>
      <c r="F87" s="21">
        <f>0.8*(D87-B87)</f>
        <v/>
      </c>
      <c r="G87" s="19">
        <f>B87+0.2*(C87-B87)</f>
        <v/>
      </c>
      <c r="H87" s="19">
        <f>B87+0.2*(D87-B87)</f>
        <v/>
      </c>
    </row>
    <row r="88">
      <c r="A88" s="18" t="inlineStr">
        <is>
          <t>Hawaii</t>
        </is>
      </c>
      <c r="B88" s="19">
        <f>H81</f>
        <v/>
      </c>
      <c r="C88" s="19">
        <f>I12+I19+I36+I51+I58+I64</f>
        <v/>
      </c>
      <c r="D88" s="19">
        <f>J12+J19+J36+J51+J58+J64</f>
        <v/>
      </c>
      <c r="E88" s="20">
        <f>0.8*(C88-B88)</f>
        <v/>
      </c>
      <c r="F88" s="21">
        <f>0.8*(D88-B88)</f>
        <v/>
      </c>
      <c r="G88" s="19">
        <f>B88+0.2*(C88-B88)</f>
        <v/>
      </c>
      <c r="H88" s="19">
        <f>B88+0.2*(D88-B88)</f>
        <v/>
      </c>
    </row>
    <row r="90">
      <c r="A90" s="22" t="inlineStr">
        <is>
          <t>NOTES</t>
        </is>
      </c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</row>
    <row r="91">
      <c r="A91" s="24" t="inlineStr">
        <is>
          <t>Reach = full-attachment estimate (celebrity + Netflix + top-10 roster + deep tournament run all landing). Base = Current + a conservative fraction of that uplift (55-65% on commercial lines).</t>
        </is>
      </c>
    </row>
    <row r="92">
      <c r="A92" s="24" t="inlineStr">
        <is>
          <t>MECHANIC (simplified): baseline = the school's TOTAL current program revenue (one lump, the green PROGRAM REVENUE row). The school keeps the first [baseline] dollars; everything in Bucket 1 above the baseline splits 80/20 (SPV 80, school 20). Not itemized line-by-line.</t>
        </is>
      </c>
    </row>
    <row r="93">
      <c r="A93" s="24" t="inlineStr">
        <is>
          <t>Bucket 1 = the school's commercial revenue with MC (Ticketing, Media, Sponsorship/MMR, Apparel/Licensing, Guarantees, Camps). SPV 80% = 0.8 x (Bucket 1 w/MC - total baseline). School keeps baseline + 20% of the excess.</t>
        </is>
      </c>
    </row>
    <row r="94">
      <c r="A94" s="24" t="inlineStr">
        <is>
          <t>Postseason gate: conf tournament &amp; NCAA tournament ticket revenue goes to the CONFERENCE / NCAA, not the school — line reduced to a small allotment margin only.</t>
        </is>
      </c>
    </row>
    <row r="95">
      <c r="A95" s="24" t="inlineStr">
        <is>
          <t>Concessions &amp; parking DO grow: marquee home games are relocated to big arenas (St. Joe's -&gt; Xfinity Mobile Arena) where the school is the home promoter and keeps/splits the ancillaries.</t>
        </is>
      </c>
    </row>
    <row r="96">
      <c r="A96" s="24" t="inlineStr">
        <is>
          <t>MMR constraint (Learfield/Playfly own school inventory): Bucket 1 sponsorship kept modest. National / Netflix-grade sponsor + patch = SPV IP (Bucket 2, off this sheet), not school MMR inventory.</t>
        </is>
      </c>
    </row>
    <row r="97">
      <c r="A97" s="24" t="inlineStr">
        <is>
          <t>Apparel shoe contract held FLAT — multi-year locked deal, no mid-term jump (renewal upside later). Licensing/merch/retail still grow (flexible).</t>
        </is>
      </c>
    </row>
    <row r="98">
      <c r="A98" s="24" t="inlineStr">
        <is>
          <t>NIL memo lines are NOT program revenue: (1) third-party athlete NIL income = athletes' own earnings (a recruiting benefit, not SPV rev/cost); (2) athlete marketing/activation = SPV-produced Bucket 2; (3) House rev-share pool = SPV-funded roster COST.</t>
        </is>
      </c>
    </row>
    <row r="99">
      <c r="A99" s="24" t="inlineStr">
        <is>
          <t>Bucket 2 (NOT on this sheet, 100% SPV, ~$15M): Netflix series (10 hrs @ $1.0M rev / $0.6M cost), 3 live games (&gt;$1M rev / $0.3M cost each), national presenting sponsor + patch, athlete-marketing/activation, international + format. Roughly recoups the $15M SPV cost.</t>
        </is>
      </c>
    </row>
    <row r="100">
      <c r="A100" s="24" t="inlineStr">
        <is>
          <t>Marquee-game relocation assumed: St. Joe's -&gt; Xfinity Mobile Arena (19k); Davidson -&gt; Spectrum Center (19k); Hawaii carried by its 10,300 arena + Diamond Head Classic. All figures ESTIMATES in $000s.</t>
        </is>
      </c>
    </row>
  </sheetData>
  <mergeCells count="14">
    <mergeCell ref="A99:J99"/>
    <mergeCell ref="A1:J1"/>
    <mergeCell ref="E2:G2"/>
    <mergeCell ref="A93:J93"/>
    <mergeCell ref="A94:J94"/>
    <mergeCell ref="A97:J97"/>
    <mergeCell ref="A100:J100"/>
    <mergeCell ref="A92:J92"/>
    <mergeCell ref="A91:J91"/>
    <mergeCell ref="A95:J95"/>
    <mergeCell ref="A96:J96"/>
    <mergeCell ref="H2:J2"/>
    <mergeCell ref="A98:J9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Bucket 2 — SPV-only revenue (100% SPV, off the school sheet)   ($000s)</t>
        </is>
      </c>
    </row>
    <row r="3">
      <c r="A3" s="3" t="inlineStr">
        <is>
          <t>Line</t>
        </is>
      </c>
      <c r="B3" s="4" t="inlineStr">
        <is>
          <t>Base</t>
        </is>
      </c>
      <c r="C3" s="4" t="inlineStr">
        <is>
          <t>Reach</t>
        </is>
      </c>
      <c r="D3" s="4" t="inlineStr"/>
      <c r="E3" s="4" t="inlineStr"/>
    </row>
    <row r="4">
      <c r="A4" t="inlineStr">
        <is>
          <t xml:space="preserve">   Streaming series (10 hrs @ $1.0M sold / $0.6M cost)</t>
        </is>
      </c>
      <c r="B4" s="19" t="n">
        <v>3200</v>
      </c>
      <c r="C4" s="19" t="n">
        <v>5000</v>
      </c>
      <c r="D4" s="25" t="inlineStr">
        <is>
          <t>$400k/hr margin before intl/format</t>
        </is>
      </c>
    </row>
    <row r="5">
      <c r="A5" t="inlineStr">
        <is>
          <t xml:space="preserve">   International + format windows</t>
        </is>
      </c>
      <c r="B5" s="19" t="n">
        <v>1500</v>
      </c>
      <c r="C5" s="19" t="n">
        <v>5000</v>
      </c>
      <c r="D5" s="25" t="inlineStr">
        <is>
          <t>durable franchise asset; grows w/ library</t>
        </is>
      </c>
    </row>
    <row r="6">
      <c r="A6" t="inlineStr">
        <is>
          <t xml:space="preserve">   Live games (3 @ &gt;$1.0M rev / $0.3M cost each)</t>
        </is>
      </c>
      <c r="B6" s="19" t="n">
        <v>2100</v>
      </c>
      <c r="C6" s="19" t="n">
        <v>4000</v>
      </c>
      <c r="D6" s="25" t="inlineStr">
        <is>
          <t>school-owned neutral/non-conf games</t>
        </is>
      </c>
    </row>
    <row r="7">
      <c r="A7" t="inlineStr">
        <is>
          <t xml:space="preserve">   National presenting sponsor + premium patch</t>
        </is>
      </c>
      <c r="B7" s="19" t="n">
        <v>3000</v>
      </c>
      <c r="C7" s="19" t="n">
        <v>8000</v>
      </c>
      <c r="D7" s="25" t="inlineStr">
        <is>
          <t>priced off Netflix eyeballs; SPV IP, not school MMR</t>
        </is>
      </c>
    </row>
    <row r="8">
      <c r="A8" t="inlineStr">
        <is>
          <t xml:space="preserve">   MC-originated sponsorship (signage/MMR-scope, ~85% SPV)</t>
        </is>
      </c>
      <c r="B8" s="19" t="n">
        <v>2000</v>
      </c>
      <c r="C8" s="19" t="n">
        <v>6000</v>
      </c>
      <c r="D8" s="25" t="inlineStr">
        <is>
          <t>MC sources it, keeps ~85% via originator deal; Learfield ~15%</t>
        </is>
      </c>
    </row>
    <row r="9">
      <c r="A9" t="inlineStr">
        <is>
          <t xml:space="preserve">   Content engine / athlete marketing &amp; activation</t>
        </is>
      </c>
      <c r="B9" s="19" t="n">
        <v>500</v>
      </c>
      <c r="C9" s="19" t="n">
        <v>1500</v>
      </c>
      <c r="D9" s="25" t="inlineStr">
        <is>
          <t>SPV-produced branded content; players' NIL contracted</t>
        </is>
      </c>
    </row>
    <row r="10">
      <c r="A10" s="26" t="inlineStr">
        <is>
          <t xml:space="preserve">   Bucket 2 total (SPV)</t>
        </is>
      </c>
      <c r="B10" s="10">
        <f>SUM(B4:B9)</f>
        <v/>
      </c>
      <c r="C10" s="10">
        <f>SUM(C4:C9)</f>
        <v/>
      </c>
    </row>
    <row r="12">
      <c r="A12" s="15" t="inlineStr">
        <is>
          <t>FULL SPV PICTURE — single season  (Bucket 1 share + Bucket 2 − $15M SPV cost)</t>
        </is>
      </c>
      <c r="B12" s="16" t="n"/>
      <c r="C12" s="16" t="n"/>
      <c r="D12" s="16" t="n"/>
      <c r="E12" s="16" t="n"/>
    </row>
    <row r="13">
      <c r="A13" s="17" t="inlineStr">
        <is>
          <t>School</t>
        </is>
      </c>
      <c r="B13" s="17" t="inlineStr">
        <is>
          <t>Bkt1 SPV Base</t>
        </is>
      </c>
      <c r="C13" s="17" t="inlineStr">
        <is>
          <t>+ Bkt2 Base</t>
        </is>
      </c>
      <c r="D13" s="17" t="inlineStr">
        <is>
          <t>− SPV cost</t>
        </is>
      </c>
      <c r="E13" s="17">
        <f> SPV net Base</f>
        <v/>
      </c>
    </row>
    <row r="14">
      <c r="A14" s="18" t="inlineStr">
        <is>
          <t>St. Joseph's</t>
        </is>
      </c>
      <c r="B14" s="19">
        <f>'Three-School Projection'!E86</f>
        <v/>
      </c>
      <c r="C14" s="19">
        <f>B10</f>
        <v/>
      </c>
      <c r="D14" s="19" t="n">
        <v>-15000</v>
      </c>
      <c r="E14" s="21">
        <f>B14+C14+D14</f>
        <v/>
      </c>
    </row>
    <row r="15">
      <c r="A15" s="18" t="inlineStr">
        <is>
          <t>Davidson</t>
        </is>
      </c>
      <c r="B15" s="19">
        <f>'Three-School Projection'!E87</f>
        <v/>
      </c>
      <c r="C15" s="19">
        <f>B10</f>
        <v/>
      </c>
      <c r="D15" s="19" t="n">
        <v>-15000</v>
      </c>
      <c r="E15" s="21">
        <f>B15+C15+D15</f>
        <v/>
      </c>
    </row>
    <row r="16">
      <c r="A16" s="18" t="inlineStr">
        <is>
          <t>Hawaii</t>
        </is>
      </c>
      <c r="B16" s="19">
        <f>'Three-School Projection'!E88</f>
        <v/>
      </c>
      <c r="C16" s="19">
        <f>B10</f>
        <v/>
      </c>
      <c r="D16" s="19" t="n">
        <v>-15000</v>
      </c>
      <c r="E16" s="21">
        <f>B16+C16+D16</f>
        <v/>
      </c>
    </row>
    <row r="18">
      <c r="A18" s="17" t="inlineStr">
        <is>
          <t>School</t>
        </is>
      </c>
      <c r="B18" s="17" t="inlineStr">
        <is>
          <t>Bkt1 SPV Reach</t>
        </is>
      </c>
      <c r="C18" s="17" t="inlineStr">
        <is>
          <t>+ Bkt2 Reach</t>
        </is>
      </c>
      <c r="D18" s="17" t="inlineStr">
        <is>
          <t>− SPV cost</t>
        </is>
      </c>
      <c r="E18" s="17">
        <f> SPV net Reach</f>
        <v/>
      </c>
    </row>
    <row r="19">
      <c r="A19" s="18" t="inlineStr">
        <is>
          <t>St. Joseph's</t>
        </is>
      </c>
      <c r="B19" s="19">
        <f>'Three-School Projection'!F86</f>
        <v/>
      </c>
      <c r="C19" s="19">
        <f>C10</f>
        <v/>
      </c>
      <c r="D19" s="19" t="n">
        <v>-15000</v>
      </c>
      <c r="E19" s="21">
        <f>B19+C19+D19</f>
        <v/>
      </c>
    </row>
    <row r="20">
      <c r="A20" s="18" t="inlineStr">
        <is>
          <t>Davidson</t>
        </is>
      </c>
      <c r="B20" s="19">
        <f>'Three-School Projection'!F87</f>
        <v/>
      </c>
      <c r="C20" s="19">
        <f>C10</f>
        <v/>
      </c>
      <c r="D20" s="19" t="n">
        <v>-15000</v>
      </c>
      <c r="E20" s="21">
        <f>B20+C20+D20</f>
        <v/>
      </c>
    </row>
    <row r="21">
      <c r="A21" s="18" t="inlineStr">
        <is>
          <t>Hawaii</t>
        </is>
      </c>
      <c r="B21" s="19">
        <f>'Three-School Projection'!F88</f>
        <v/>
      </c>
      <c r="C21" s="19">
        <f>C10</f>
        <v/>
      </c>
      <c r="D21" s="19" t="n">
        <v>-15000</v>
      </c>
      <c r="E21" s="21">
        <f>B21+C21+D21</f>
        <v/>
      </c>
    </row>
    <row r="23">
      <c r="A23" s="24" t="inlineStr">
        <is>
          <t>Bucket 2 is 100% SPV and never touches the school sheet or the 80/20 split.</t>
        </is>
      </c>
    </row>
    <row r="24">
      <c r="A24" s="24" t="inlineStr">
        <is>
          <t>Series &amp; live-game costs are already netted in their lines (EverWonder finances production, recoups cost+10%). The $15M SPV cost = roster/NIL + ops.</t>
        </is>
      </c>
    </row>
    <row r="25">
      <c r="A25" s="24" t="inlineStr">
        <is>
          <t>MC-originated sponsorship: rather than routing MC-sourced signage/MMR-scope deals through Learfield's fixed guarantee (where the upside gets trapped), MC originates and keeps ~85%. Safer and higher than the 80/20 team-revenue path.</t>
        </is>
      </c>
    </row>
    <row r="26">
      <c r="A26" s="24" t="inlineStr">
        <is>
          <t>Per-school variance is minor (national platform) — Davidson skews high via the Curry anchor. Reach is the optimistic ceiling; underwrite on Base.</t>
        </is>
      </c>
    </row>
  </sheetData>
  <mergeCells count="5">
    <mergeCell ref="A26:E26"/>
    <mergeCell ref="A24:E24"/>
    <mergeCell ref="A25:E25"/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2026-07-16T04:13:36Z</dcterms:created>
  <dcterms:modified xmlns:dcterms="http://purl.org/dc/terms/" xmlns:xsi="http://www.w3.org/2001/XMLSchema-instance" xsi:type="dcterms:W3CDTF">2026-07-16T04:13:36Z</dcterms:modified>
</cp:coreProperties>
</file>