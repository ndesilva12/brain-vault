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40404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5" fillId="7" borderId="0" pivotButton="0" quotePrefix="0" xfId="0"/>
    <xf numFmtId="164" fontId="5" fillId="7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 wrapText="1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8" borderId="0" pivotButton="0" quotePrefix="0" xfId="0"/>
    <xf numFmtId="0" fontId="2" fillId="7" borderId="0" pivotButton="0" quotePrefix="0" xfId="0"/>
    <xf numFmtId="0" fontId="0" fillId="7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230</v>
      </c>
      <c r="C5" s="8" t="n">
        <v>1200</v>
      </c>
      <c r="D5" s="7" t="n">
        <v>1800</v>
      </c>
      <c r="E5" s="7" t="n">
        <v>300</v>
      </c>
      <c r="F5" s="8" t="n">
        <v>1480</v>
      </c>
      <c r="G5" s="7" t="n">
        <v>2200</v>
      </c>
      <c r="H5" s="7" t="n">
        <v>500</v>
      </c>
      <c r="I5" s="8" t="n">
        <v>2050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130</v>
      </c>
      <c r="C6" s="8" t="n">
        <v>2220</v>
      </c>
      <c r="D6" s="7" t="n">
        <v>3500</v>
      </c>
      <c r="E6" s="7" t="n">
        <v>160</v>
      </c>
      <c r="F6" s="8" t="n">
        <v>2230</v>
      </c>
      <c r="G6" s="7" t="n">
        <v>3500</v>
      </c>
      <c r="H6" s="7" t="n">
        <v>230</v>
      </c>
      <c r="I6" s="8" t="n">
        <v>1640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50</v>
      </c>
      <c r="C7" s="8" t="n">
        <v>520</v>
      </c>
      <c r="D7" s="7" t="n">
        <v>800</v>
      </c>
      <c r="E7" s="7" t="n">
        <v>80</v>
      </c>
      <c r="F7" s="8" t="n">
        <v>650</v>
      </c>
      <c r="G7" s="7" t="n">
        <v>1000</v>
      </c>
      <c r="H7" s="7" t="n">
        <v>100</v>
      </c>
      <c r="I7" s="8" t="n">
        <v>600</v>
      </c>
      <c r="J7" s="7" t="n">
        <v>900</v>
      </c>
    </row>
    <row r="8">
      <c r="A8" t="inlineStr">
        <is>
          <t xml:space="preserve">   Postseason ticket revenue (conf tourn/NCAA)</t>
        </is>
      </c>
      <c r="B8" s="7" t="n">
        <v>10</v>
      </c>
      <c r="C8" s="8" t="n">
        <v>250</v>
      </c>
      <c r="D8" s="7" t="n">
        <v>400</v>
      </c>
      <c r="E8" s="7" t="n">
        <v>20</v>
      </c>
      <c r="F8" s="8" t="n">
        <v>320</v>
      </c>
      <c r="G8" s="7" t="n">
        <v>500</v>
      </c>
      <c r="H8" s="7" t="n">
        <v>10</v>
      </c>
      <c r="I8" s="8" t="n">
        <v>220</v>
      </c>
      <c r="J8" s="7" t="n">
        <v>350</v>
      </c>
    </row>
    <row r="9">
      <c r="A9" t="inlineStr">
        <is>
          <t xml:space="preserve">   Concessions (program's share)</t>
        </is>
      </c>
      <c r="B9" s="7" t="n">
        <v>40</v>
      </c>
      <c r="C9" s="8" t="n">
        <v>330</v>
      </c>
      <c r="D9" s="7" t="n">
        <v>500</v>
      </c>
      <c r="E9" s="7" t="n">
        <v>50</v>
      </c>
      <c r="F9" s="8" t="n">
        <v>360</v>
      </c>
      <c r="G9" s="7" t="n">
        <v>550</v>
      </c>
      <c r="H9" s="7" t="n">
        <v>100</v>
      </c>
      <c r="I9" s="8" t="n">
        <v>470</v>
      </c>
      <c r="J9" s="7" t="n">
        <v>700</v>
      </c>
    </row>
    <row r="10">
      <c r="A10" t="inlineStr">
        <is>
          <t xml:space="preserve">   Parking</t>
        </is>
      </c>
      <c r="B10" s="7" t="n">
        <v>20</v>
      </c>
      <c r="C10" s="8" t="n">
        <v>190</v>
      </c>
      <c r="D10" s="7" t="n">
        <v>300</v>
      </c>
      <c r="E10" s="7" t="n">
        <v>30</v>
      </c>
      <c r="F10" s="8" t="n">
        <v>230</v>
      </c>
      <c r="G10" s="7" t="n">
        <v>350</v>
      </c>
      <c r="H10" s="7" t="n">
        <v>50</v>
      </c>
      <c r="I10" s="8" t="n">
        <v>240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30</v>
      </c>
      <c r="C11" s="8" t="n">
        <v>320</v>
      </c>
      <c r="D11" s="7" t="n">
        <v>500</v>
      </c>
      <c r="E11" s="7" t="n">
        <v>40</v>
      </c>
      <c r="F11" s="8" t="n">
        <v>390</v>
      </c>
      <c r="G11" s="7" t="n">
        <v>600</v>
      </c>
      <c r="H11" s="7" t="n">
        <v>50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450</v>
      </c>
      <c r="C15" s="8" t="n">
        <v>450</v>
      </c>
      <c r="D15" s="7" t="n">
        <v>450</v>
      </c>
      <c r="E15" s="7" t="n">
        <v>450</v>
      </c>
      <c r="F15" s="8" t="n">
        <v>450</v>
      </c>
      <c r="G15" s="7" t="n">
        <v>450</v>
      </c>
      <c r="H15" s="7" t="n">
        <v>250</v>
      </c>
      <c r="I15" s="8" t="n">
        <v>250</v>
      </c>
      <c r="J15" s="7" t="n">
        <v>250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20</v>
      </c>
      <c r="F16" s="8" t="n">
        <v>190</v>
      </c>
      <c r="G16" s="7" t="n">
        <v>300</v>
      </c>
      <c r="H16" s="7" t="n">
        <v>30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10</v>
      </c>
      <c r="I17" s="8" t="n">
        <v>210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10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 (non-media share)</t>
        </is>
      </c>
      <c r="B22" s="7" t="n">
        <v>350</v>
      </c>
      <c r="C22" s="8" t="n">
        <v>350</v>
      </c>
      <c r="D22" s="7" t="n">
        <v>350</v>
      </c>
      <c r="E22" s="7" t="n">
        <v>350</v>
      </c>
      <c r="F22" s="8" t="n">
        <v>350</v>
      </c>
      <c r="G22" s="7" t="n">
        <v>350</v>
      </c>
      <c r="H22" s="7" t="n">
        <v>200</v>
      </c>
      <c r="I22" s="8" t="n">
        <v>200</v>
      </c>
      <c r="J22" s="7" t="n">
        <v>200</v>
      </c>
    </row>
    <row r="23">
      <c r="A23" t="inlineStr">
        <is>
          <t xml:space="preserve">   Conference tournament revenue share</t>
        </is>
      </c>
      <c r="B23" s="7" t="n">
        <v>80</v>
      </c>
      <c r="C23" s="8" t="n">
        <v>80</v>
      </c>
      <c r="D23" s="7" t="n">
        <v>80</v>
      </c>
      <c r="E23" s="7" t="n">
        <v>80</v>
      </c>
      <c r="F23" s="8" t="n">
        <v>80</v>
      </c>
      <c r="G23" s="7" t="n">
        <v>80</v>
      </c>
      <c r="H23" s="7" t="n">
        <v>50</v>
      </c>
      <c r="I23" s="8" t="n">
        <v>50</v>
      </c>
      <c r="J23" s="7" t="n">
        <v>50</v>
      </c>
    </row>
    <row r="24">
      <c r="A24" t="inlineStr">
        <is>
          <t xml:space="preserve">   NCAA Tournament units / Perf. Fund</t>
        </is>
      </c>
      <c r="B24" s="7" t="n">
        <v>50</v>
      </c>
      <c r="C24" s="8" t="n">
        <v>570</v>
      </c>
      <c r="D24" s="7" t="n">
        <v>700</v>
      </c>
      <c r="E24" s="7" t="n">
        <v>70</v>
      </c>
      <c r="F24" s="8" t="n">
        <v>650</v>
      </c>
      <c r="G24" s="7" t="n">
        <v>800</v>
      </c>
      <c r="H24" s="7" t="n">
        <v>30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210</v>
      </c>
      <c r="C25" s="8" t="n">
        <v>210</v>
      </c>
      <c r="D25" s="7" t="n">
        <v>210</v>
      </c>
      <c r="E25" s="7" t="n">
        <v>210</v>
      </c>
      <c r="F25" s="8" t="n">
        <v>210</v>
      </c>
      <c r="G25" s="7" t="n">
        <v>210</v>
      </c>
      <c r="H25" s="7" t="n">
        <v>190</v>
      </c>
      <c r="I25" s="8" t="n">
        <v>190</v>
      </c>
      <c r="J25" s="7" t="n">
        <v>190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100</v>
      </c>
      <c r="C29" s="8" t="n">
        <v>520</v>
      </c>
      <c r="D29" s="7" t="n">
        <v>800</v>
      </c>
      <c r="E29" s="7" t="n">
        <v>120</v>
      </c>
      <c r="F29" s="8" t="n">
        <v>590</v>
      </c>
      <c r="G29" s="7" t="n">
        <v>900</v>
      </c>
      <c r="H29" s="7" t="n">
        <v>130</v>
      </c>
      <c r="I29" s="8" t="n">
        <v>530</v>
      </c>
      <c r="J29" s="7" t="n">
        <v>800</v>
      </c>
    </row>
    <row r="30">
      <c r="A30" t="inlineStr">
        <is>
          <t xml:space="preserve">   Corporate / category sponsorships</t>
        </is>
      </c>
      <c r="B30" s="7" t="n">
        <v>80</v>
      </c>
      <c r="C30" s="8" t="n">
        <v>630</v>
      </c>
      <c r="D30" s="7" t="n">
        <v>1000</v>
      </c>
      <c r="E30" s="7" t="n">
        <v>100</v>
      </c>
      <c r="F30" s="8" t="n">
        <v>760</v>
      </c>
      <c r="G30" s="7" t="n">
        <v>1200</v>
      </c>
      <c r="H30" s="7" t="n">
        <v>120</v>
      </c>
      <c r="I30" s="8" t="n">
        <v>650</v>
      </c>
      <c r="J30" s="7" t="n">
        <v>1000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30</v>
      </c>
      <c r="F31" s="8" t="n">
        <v>190</v>
      </c>
      <c r="G31" s="7" t="n">
        <v>300</v>
      </c>
      <c r="H31" s="7" t="n">
        <v>30</v>
      </c>
      <c r="I31" s="8" t="n">
        <v>160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30</v>
      </c>
      <c r="C32" s="8" t="n">
        <v>250</v>
      </c>
      <c r="D32" s="7" t="n">
        <v>400</v>
      </c>
      <c r="E32" s="7" t="n">
        <v>40</v>
      </c>
      <c r="F32" s="8" t="n">
        <v>290</v>
      </c>
      <c r="G32" s="7" t="n">
        <v>450</v>
      </c>
      <c r="H32" s="7" t="n">
        <v>50</v>
      </c>
      <c r="I32" s="8" t="n">
        <v>260</v>
      </c>
      <c r="J32" s="7" t="n">
        <v>400</v>
      </c>
    </row>
    <row r="33">
      <c r="A33" t="inlineStr">
        <is>
          <t xml:space="preserve">   Jersey patch / uniform sponsorship</t>
        </is>
      </c>
      <c r="B33" s="7" t="n">
        <v>0</v>
      </c>
      <c r="C33" s="8" t="n">
        <v>480</v>
      </c>
      <c r="D33" s="7" t="n">
        <v>800</v>
      </c>
      <c r="E33" s="7" t="n">
        <v>0</v>
      </c>
      <c r="F33" s="8" t="n">
        <v>600</v>
      </c>
      <c r="G33" s="7" t="n">
        <v>1000</v>
      </c>
      <c r="H33" s="7" t="n">
        <v>0</v>
      </c>
      <c r="I33" s="8" t="n">
        <v>420</v>
      </c>
      <c r="J33" s="7" t="n">
        <v>700</v>
      </c>
    </row>
    <row r="34">
      <c r="A34" t="inlineStr">
        <is>
          <t xml:space="preserve">   Coach's show / radio show sponsorship</t>
        </is>
      </c>
      <c r="B34" s="7" t="n">
        <v>10</v>
      </c>
      <c r="C34" s="8" t="n">
        <v>90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10</v>
      </c>
      <c r="I34" s="8" t="n">
        <v>80</v>
      </c>
      <c r="J34" s="7" t="n">
        <v>120</v>
      </c>
    </row>
    <row r="35">
      <c r="A35" t="inlineStr">
        <is>
          <t xml:space="preserve">   Digital &amp; social sponsorship / content</t>
        </is>
      </c>
      <c r="B35" s="7" t="n">
        <v>10</v>
      </c>
      <c r="C35" s="8" t="n">
        <v>300</v>
      </c>
      <c r="D35" s="7" t="n">
        <v>500</v>
      </c>
      <c r="E35" s="7" t="n">
        <v>10</v>
      </c>
      <c r="F35" s="8" t="n">
        <v>360</v>
      </c>
      <c r="G35" s="7" t="n">
        <v>600</v>
      </c>
      <c r="H35" s="7" t="n">
        <v>10</v>
      </c>
      <c r="I35" s="8" t="n">
        <v>270</v>
      </c>
      <c r="J35" s="7" t="n">
        <v>450</v>
      </c>
    </row>
    <row r="36">
      <c r="A36" s="9" t="inlineStr">
        <is>
          <t xml:space="preserve">   Subtotal — Corporate sponsorship &amp; multimedia rights</t>
        </is>
      </c>
      <c r="B36" s="10">
        <f>SUM(B29:B35)</f>
        <v/>
      </c>
      <c r="C36" s="10">
        <f>SUM(C29:C35)</f>
        <v/>
      </c>
      <c r="D36" s="10">
        <f>SUM(D29:D35)</f>
        <v/>
      </c>
      <c r="E36" s="10">
        <f>SUM(E29:E35)</f>
        <v/>
      </c>
      <c r="F36" s="10">
        <f>SUM(F29:F35)</f>
        <v/>
      </c>
      <c r="G36" s="10">
        <f>SUM(G29:G35)</f>
        <v/>
      </c>
      <c r="H36" s="10">
        <f>SUM(H29:H35)</f>
        <v/>
      </c>
      <c r="I36" s="10">
        <f>SUM(I29:I35)</f>
        <v/>
      </c>
      <c r="J36" s="10">
        <f>SUM(J29:J35)</f>
        <v/>
      </c>
    </row>
    <row r="38">
      <c r="A38" s="5" t="inlineStr">
        <is>
          <t>Philanthropy &amp; donor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t="inlineStr">
        <is>
          <t xml:space="preserve">   Annual fund / booster donations</t>
        </is>
      </c>
      <c r="B39" s="7" t="n">
        <v>200</v>
      </c>
      <c r="C39" s="8" t="n">
        <v>750</v>
      </c>
      <c r="D39" s="7" t="n">
        <v>1200</v>
      </c>
      <c r="E39" s="7" t="n">
        <v>300</v>
      </c>
      <c r="F39" s="8" t="n">
        <v>1120</v>
      </c>
      <c r="G39" s="7" t="n">
        <v>1800</v>
      </c>
      <c r="H39" s="7" t="n">
        <v>160</v>
      </c>
      <c r="I39" s="8" t="n">
        <v>620</v>
      </c>
      <c r="J39" s="7" t="n">
        <v>1000</v>
      </c>
    </row>
    <row r="40">
      <c r="A40" t="inlineStr">
        <is>
          <t xml:space="preserve">   Seat-related required donations (PSLs)</t>
        </is>
      </c>
      <c r="B40" s="7" t="n">
        <v>100</v>
      </c>
      <c r="C40" s="8" t="n">
        <v>490</v>
      </c>
      <c r="D40" s="7" t="n">
        <v>800</v>
      </c>
      <c r="E40" s="7" t="n">
        <v>160</v>
      </c>
      <c r="F40" s="8" t="n">
        <v>730</v>
      </c>
      <c r="G40" s="7" t="n">
        <v>1200</v>
      </c>
      <c r="H40" s="7" t="n">
        <v>70</v>
      </c>
      <c r="I40" s="8" t="n">
        <v>420</v>
      </c>
      <c r="J40" s="7" t="n">
        <v>700</v>
      </c>
    </row>
    <row r="41">
      <c r="A41" t="inlineStr">
        <is>
          <t xml:space="preserve">   Major gifts &amp; endowment (MBB-specific)</t>
        </is>
      </c>
      <c r="B41" s="7" t="n">
        <v>70</v>
      </c>
      <c r="C41" s="8" t="n">
        <v>580</v>
      </c>
      <c r="D41" s="7" t="n">
        <v>1000</v>
      </c>
      <c r="E41" s="7" t="n">
        <v>130</v>
      </c>
      <c r="F41" s="8" t="n">
        <v>880</v>
      </c>
      <c r="G41" s="7" t="n">
        <v>1500</v>
      </c>
      <c r="H41" s="7" t="n">
        <v>50</v>
      </c>
      <c r="I41" s="8" t="n">
        <v>520</v>
      </c>
      <c r="J41" s="7" t="n">
        <v>900</v>
      </c>
    </row>
    <row r="42">
      <c r="A42" t="inlineStr">
        <is>
          <t xml:space="preserve">   Capital-campaign gifts (facilities)</t>
        </is>
      </c>
      <c r="B42" s="7" t="n">
        <v>30</v>
      </c>
      <c r="C42" s="8" t="n">
        <v>230</v>
      </c>
      <c r="D42" s="7" t="n">
        <v>400</v>
      </c>
      <c r="E42" s="7" t="n">
        <v>70</v>
      </c>
      <c r="F42" s="8" t="n">
        <v>420</v>
      </c>
      <c r="G42" s="7" t="n">
        <v>700</v>
      </c>
      <c r="H42" s="7" t="n">
        <v>30</v>
      </c>
      <c r="I42" s="8" t="n">
        <v>290</v>
      </c>
      <c r="J42" s="7" t="n">
        <v>500</v>
      </c>
    </row>
    <row r="43">
      <c r="A43" t="inlineStr">
        <is>
          <t xml:space="preserve">   Collective / NIL donor contributions</t>
        </is>
      </c>
      <c r="B43" s="7" t="n">
        <v>100</v>
      </c>
      <c r="C43" s="8" t="n">
        <v>700</v>
      </c>
      <c r="D43" s="7" t="n">
        <v>1200</v>
      </c>
      <c r="E43" s="7" t="n">
        <v>160</v>
      </c>
      <c r="F43" s="8" t="n">
        <v>900</v>
      </c>
      <c r="G43" s="7" t="n">
        <v>1500</v>
      </c>
      <c r="H43" s="7" t="n">
        <v>80</v>
      </c>
      <c r="I43" s="8" t="n">
        <v>590</v>
      </c>
      <c r="J43" s="7" t="n">
        <v>1000</v>
      </c>
    </row>
    <row r="44">
      <c r="A44" s="9" t="inlineStr">
        <is>
          <t xml:space="preserve">   Subtotal — Philanthropy &amp; donor</t>
        </is>
      </c>
      <c r="B44" s="10">
        <f>SUM(B39:B43)</f>
        <v/>
      </c>
      <c r="C44" s="10">
        <f>SUM(C39:C43)</f>
        <v/>
      </c>
      <c r="D44" s="10">
        <f>SUM(D39:D43)</f>
        <v/>
      </c>
      <c r="E44" s="10">
        <f>SUM(E39:E43)</f>
        <v/>
      </c>
      <c r="F44" s="10">
        <f>SUM(F39:F43)</f>
        <v/>
      </c>
      <c r="G44" s="10">
        <f>SUM(G39:G43)</f>
        <v/>
      </c>
      <c r="H44" s="10">
        <f>SUM(H39:H43)</f>
        <v/>
      </c>
      <c r="I44" s="10">
        <f>SUM(I39:I43)</f>
        <v/>
      </c>
      <c r="J44" s="10">
        <f>SUM(J39:J43)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80</v>
      </c>
      <c r="C47" s="8" t="n">
        <v>450</v>
      </c>
      <c r="D47" s="7" t="n">
        <v>700</v>
      </c>
      <c r="E47" s="7" t="n">
        <v>100</v>
      </c>
      <c r="F47" s="8" t="n">
        <v>580</v>
      </c>
      <c r="G47" s="7" t="n">
        <v>900</v>
      </c>
      <c r="H47" s="7" t="n">
        <v>70</v>
      </c>
      <c r="I47" s="8" t="n">
        <v>330</v>
      </c>
      <c r="J47" s="7" t="n">
        <v>500</v>
      </c>
    </row>
    <row r="48">
      <c r="A48" t="inlineStr">
        <is>
          <t xml:space="preserve">   Trademark / logo licensing royalties</t>
        </is>
      </c>
      <c r="B48" s="7" t="n">
        <v>10</v>
      </c>
      <c r="C48" s="8" t="n">
        <v>240</v>
      </c>
      <c r="D48" s="7" t="n">
        <v>400</v>
      </c>
      <c r="E48" s="7" t="n">
        <v>30</v>
      </c>
      <c r="F48" s="8" t="n">
        <v>370</v>
      </c>
      <c r="G48" s="7" t="n">
        <v>600</v>
      </c>
      <c r="H48" s="7" t="n">
        <v>10</v>
      </c>
      <c r="I48" s="8" t="n">
        <v>180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30</v>
      </c>
      <c r="C49" s="8" t="n">
        <v>490</v>
      </c>
      <c r="D49" s="7" t="n">
        <v>800</v>
      </c>
      <c r="E49" s="7" t="n">
        <v>50</v>
      </c>
      <c r="F49" s="8" t="n">
        <v>620</v>
      </c>
      <c r="G49" s="7" t="n">
        <v>1000</v>
      </c>
      <c r="H49" s="7" t="n">
        <v>40</v>
      </c>
      <c r="I49" s="8" t="n">
        <v>380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10</v>
      </c>
      <c r="C50" s="8" t="n">
        <v>60</v>
      </c>
      <c r="D50" s="7" t="n">
        <v>100</v>
      </c>
      <c r="E50" s="7" t="n">
        <v>10</v>
      </c>
      <c r="F50" s="8" t="n">
        <v>90</v>
      </c>
      <c r="G50" s="7" t="n">
        <v>150</v>
      </c>
      <c r="H50" s="7" t="n">
        <v>10</v>
      </c>
      <c r="I50" s="8" t="n">
        <v>50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100</v>
      </c>
      <c r="C54" s="8" t="n">
        <v>410</v>
      </c>
      <c r="D54" s="7" t="n">
        <v>600</v>
      </c>
      <c r="E54" s="7" t="n">
        <v>100</v>
      </c>
      <c r="F54" s="8" t="n">
        <v>410</v>
      </c>
      <c r="G54" s="7" t="n">
        <v>600</v>
      </c>
      <c r="H54" s="7" t="n">
        <v>130</v>
      </c>
      <c r="I54" s="8" t="n">
        <v>360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30</v>
      </c>
      <c r="C55" s="8" t="n">
        <v>510</v>
      </c>
      <c r="D55" s="7" t="n">
        <v>800</v>
      </c>
      <c r="E55" s="7" t="n">
        <v>50</v>
      </c>
      <c r="F55" s="8" t="n">
        <v>580</v>
      </c>
      <c r="G55" s="7" t="n">
        <v>900</v>
      </c>
      <c r="H55" s="7" t="n">
        <v>100</v>
      </c>
      <c r="I55" s="8" t="n">
        <v>470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30</v>
      </c>
      <c r="C56" s="8" t="n">
        <v>260</v>
      </c>
      <c r="D56" s="7" t="n">
        <v>400</v>
      </c>
      <c r="E56" s="7" t="n">
        <v>30</v>
      </c>
      <c r="F56" s="8" t="n">
        <v>320</v>
      </c>
      <c r="G56" s="7" t="n">
        <v>500</v>
      </c>
      <c r="H56" s="7" t="n">
        <v>50</v>
      </c>
      <c r="I56" s="8" t="n">
        <v>270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10</v>
      </c>
      <c r="C57" s="8" t="n">
        <v>70</v>
      </c>
      <c r="D57" s="7" t="n">
        <v>100</v>
      </c>
      <c r="E57" s="7" t="n">
        <v>10</v>
      </c>
      <c r="F57" s="8" t="n">
        <v>80</v>
      </c>
      <c r="G57" s="7" t="n">
        <v>120</v>
      </c>
      <c r="H57" s="7" t="n">
        <v>10</v>
      </c>
      <c r="I57" s="8" t="n">
        <v>50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50</v>
      </c>
      <c r="C61" s="8" t="n">
        <v>280</v>
      </c>
      <c r="D61" s="7" t="n">
        <v>400</v>
      </c>
      <c r="E61" s="7" t="n">
        <v>70</v>
      </c>
      <c r="F61" s="8" t="n">
        <v>350</v>
      </c>
      <c r="G61" s="7" t="n">
        <v>500</v>
      </c>
      <c r="H61" s="7" t="n">
        <v>50</v>
      </c>
      <c r="I61" s="8" t="n">
        <v>240</v>
      </c>
      <c r="J61" s="7" t="n">
        <v>350</v>
      </c>
    </row>
    <row r="62">
      <c r="A62" t="inlineStr">
        <is>
          <t xml:space="preserve">   Coach's camps</t>
        </is>
      </c>
      <c r="B62" s="7" t="n">
        <v>30</v>
      </c>
      <c r="C62" s="8" t="n">
        <v>140</v>
      </c>
      <c r="D62" s="7" t="n">
        <v>200</v>
      </c>
      <c r="E62" s="7" t="n">
        <v>30</v>
      </c>
      <c r="F62" s="8" t="n">
        <v>170</v>
      </c>
      <c r="G62" s="7" t="n">
        <v>250</v>
      </c>
      <c r="H62" s="7" t="n">
        <v>20</v>
      </c>
      <c r="I62" s="8" t="n">
        <v>100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20</v>
      </c>
      <c r="C63" s="8" t="n">
        <v>100</v>
      </c>
      <c r="D63" s="7" t="n">
        <v>150</v>
      </c>
      <c r="E63" s="7" t="n">
        <v>20</v>
      </c>
      <c r="F63" s="8" t="n">
        <v>120</v>
      </c>
      <c r="G63" s="7" t="n">
        <v>180</v>
      </c>
      <c r="H63" s="7" t="n">
        <v>30</v>
      </c>
      <c r="I63" s="8" t="n">
        <v>170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260</v>
      </c>
      <c r="C67" s="8" t="n">
        <v>330</v>
      </c>
      <c r="D67" s="7" t="n">
        <v>400</v>
      </c>
      <c r="E67" s="7" t="n">
        <v>200</v>
      </c>
      <c r="F67" s="8" t="n">
        <v>250</v>
      </c>
      <c r="G67" s="7" t="n">
        <v>300</v>
      </c>
      <c r="H67" s="7" t="n">
        <v>400</v>
      </c>
      <c r="I67" s="8" t="n">
        <v>550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70</v>
      </c>
      <c r="C68" s="8" t="n">
        <v>80</v>
      </c>
      <c r="D68" s="7" t="n">
        <v>100</v>
      </c>
      <c r="E68" s="7" t="n">
        <v>30</v>
      </c>
      <c r="F68" s="8" t="n">
        <v>40</v>
      </c>
      <c r="G68" s="7" t="n">
        <v>50</v>
      </c>
      <c r="H68" s="7" t="n">
        <v>200</v>
      </c>
      <c r="I68" s="8" t="n">
        <v>300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260</v>
      </c>
      <c r="I69" s="8" t="n">
        <v>430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30</v>
      </c>
      <c r="C70" s="8" t="n">
        <v>90</v>
      </c>
      <c r="D70" s="7" t="n">
        <v>150</v>
      </c>
      <c r="E70" s="7" t="n">
        <v>100</v>
      </c>
      <c r="F70" s="8" t="n">
        <v>250</v>
      </c>
      <c r="G70" s="7" t="n">
        <v>400</v>
      </c>
      <c r="H70" s="7" t="n">
        <v>20</v>
      </c>
      <c r="I70" s="8" t="n">
        <v>50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20</v>
      </c>
      <c r="C71" s="8" t="n">
        <v>60</v>
      </c>
      <c r="D71" s="7" t="n">
        <v>100</v>
      </c>
      <c r="E71" s="7" t="n">
        <v>30</v>
      </c>
      <c r="F71" s="8" t="n">
        <v>90</v>
      </c>
      <c r="G71" s="7" t="n">
        <v>150</v>
      </c>
      <c r="H71" s="7" t="n">
        <v>20</v>
      </c>
      <c r="I71" s="8" t="n">
        <v>70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20</v>
      </c>
      <c r="C72" s="8" t="n">
        <v>60</v>
      </c>
      <c r="D72" s="7" t="n">
        <v>100</v>
      </c>
      <c r="E72" s="7" t="n">
        <v>20</v>
      </c>
      <c r="F72" s="8" t="n">
        <v>70</v>
      </c>
      <c r="G72" s="7" t="n">
        <v>120</v>
      </c>
      <c r="H72" s="7" t="n">
        <v>20</v>
      </c>
      <c r="I72" s="8" t="n">
        <v>60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5" t="inlineStr">
        <is>
          <t>NIL / revenue-share era  (memo — cost-side funding, not program revenue)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t="inlineStr">
        <is>
          <t xml:space="preserve">   NIL collective revenue (third-party)</t>
        </is>
      </c>
      <c r="B76" s="7" t="n">
        <v>70</v>
      </c>
      <c r="C76" s="8" t="n">
        <v>1970</v>
      </c>
      <c r="D76" s="7" t="n">
        <v>3000</v>
      </c>
      <c r="E76" s="7" t="n">
        <v>130</v>
      </c>
      <c r="F76" s="8" t="n">
        <v>2320</v>
      </c>
      <c r="G76" s="7" t="n">
        <v>3500</v>
      </c>
      <c r="H76" s="7" t="n">
        <v>50</v>
      </c>
      <c r="I76" s="8" t="n">
        <v>1640</v>
      </c>
      <c r="J76" s="7" t="n">
        <v>2500</v>
      </c>
    </row>
    <row r="77">
      <c r="A77" t="inlineStr">
        <is>
          <t xml:space="preserve">   Athlete marketing / activation revenue</t>
        </is>
      </c>
      <c r="B77" s="7" t="n">
        <v>20</v>
      </c>
      <c r="C77" s="8" t="n">
        <v>530</v>
      </c>
      <c r="D77" s="7" t="n">
        <v>800</v>
      </c>
      <c r="E77" s="7" t="n">
        <v>30</v>
      </c>
      <c r="F77" s="8" t="n">
        <v>660</v>
      </c>
      <c r="G77" s="7" t="n">
        <v>1000</v>
      </c>
      <c r="H77" s="7" t="n">
        <v>10</v>
      </c>
      <c r="I77" s="8" t="n">
        <v>390</v>
      </c>
      <c r="J77" s="7" t="n">
        <v>600</v>
      </c>
    </row>
    <row r="78">
      <c r="A78" t="inlineStr">
        <is>
          <t xml:space="preserve">   House-settlement revenue-share pool</t>
        </is>
      </c>
      <c r="B78" s="7" t="n">
        <v>0</v>
      </c>
      <c r="C78" s="8" t="n">
        <v>1620</v>
      </c>
      <c r="D78" s="7" t="n">
        <v>2500</v>
      </c>
      <c r="E78" s="7" t="n">
        <v>0</v>
      </c>
      <c r="F78" s="8" t="n">
        <v>1620</v>
      </c>
      <c r="G78" s="7" t="n">
        <v>2500</v>
      </c>
      <c r="H78" s="7" t="n">
        <v>0</v>
      </c>
      <c r="I78" s="8" t="n">
        <v>1620</v>
      </c>
      <c r="J78" s="7" t="n">
        <v>2500</v>
      </c>
    </row>
    <row r="79">
      <c r="A79" s="9" t="inlineStr">
        <is>
          <t xml:space="preserve">   Subtotal — NIL / revenue-share era</t>
        </is>
      </c>
      <c r="B79" s="10">
        <f>SUM(B76:B78)</f>
        <v/>
      </c>
      <c r="C79" s="10">
        <f>SUM(C76:C78)</f>
        <v/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  <c r="H79" s="10">
        <f>SUM(H76:H78)</f>
        <v/>
      </c>
      <c r="I79" s="10">
        <f>SUM(I76:I78)</f>
        <v/>
      </c>
      <c r="J79" s="10">
        <f>SUM(J76:J78)</f>
        <v/>
      </c>
    </row>
    <row r="81">
      <c r="A81" s="11" t="inlineStr">
        <is>
          <t>PROGRAM REVENUE  (categories 1–9, excl. NIL)  = the total baseline</t>
        </is>
      </c>
      <c r="B81" s="12">
        <f>B12+B19+B26+B36+B44+B51+B58+B64+B73</f>
        <v/>
      </c>
      <c r="C81" s="12">
        <f>C12+C19+C26+C36+C44+C51+C58+C64+C73</f>
        <v/>
      </c>
      <c r="D81" s="12">
        <f>D12+D19+D26+D36+D44+D51+D58+D64+D73</f>
        <v/>
      </c>
      <c r="E81" s="12">
        <f>E12+E19+E26+E36+E44+E51+E58+E64+E73</f>
        <v/>
      </c>
      <c r="F81" s="12">
        <f>F12+F19+F26+F36+F44+F51+F58+F64+F73</f>
        <v/>
      </c>
      <c r="G81" s="12">
        <f>G12+G19+G26+G36+G44+G51+G58+G64+G73</f>
        <v/>
      </c>
      <c r="H81" s="12">
        <f>H12+H19+H26+H36+H44+H51+H58+H64+H73</f>
        <v/>
      </c>
      <c r="I81" s="12">
        <f>I12+I19+I26+I36+I44+I51+I58+I64+I73</f>
        <v/>
      </c>
      <c r="J81" s="12">
        <f>J12+J19+J26+J36+J44+J51+J58+J64+J73</f>
        <v/>
      </c>
    </row>
    <row r="82">
      <c r="A82" s="13" t="inlineStr">
        <is>
          <t>NIL / rev-share funding  (memo — SPV-funded cost)</t>
        </is>
      </c>
      <c r="B82" s="14">
        <f>B79</f>
        <v/>
      </c>
      <c r="C82" s="14">
        <f>C79</f>
        <v/>
      </c>
      <c r="D82" s="14">
        <f>D79</f>
        <v/>
      </c>
      <c r="E82" s="14">
        <f>E79</f>
        <v/>
      </c>
      <c r="F82" s="14">
        <f>F79</f>
        <v/>
      </c>
      <c r="G82" s="14">
        <f>G79</f>
        <v/>
      </c>
      <c r="H82" s="14">
        <f>H79</f>
        <v/>
      </c>
      <c r="I82" s="14">
        <f>I79</f>
        <v/>
      </c>
      <c r="J82" s="14">
        <f>J79</f>
        <v/>
      </c>
    </row>
    <row r="84">
      <c r="A84" s="15" t="inlineStr">
        <is>
          <t>SPV ECONOMICS  (Bucket 1 above baseline, 80/20; baseline = total current revenue, one lump)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 ht="26" customHeight="1">
      <c r="A85" s="17" t="inlineStr"/>
      <c r="B85" s="17" t="inlineStr">
        <is>
          <t>Baseline (total curr.)</t>
        </is>
      </c>
      <c r="C85" s="17" t="inlineStr">
        <is>
          <t>Bucket 1 Base w/MC</t>
        </is>
      </c>
      <c r="D85" s="17" t="inlineStr">
        <is>
          <t>Bucket 1 Reach w/MC</t>
        </is>
      </c>
      <c r="E85" s="17" t="inlineStr">
        <is>
          <t>SPV 80% Base</t>
        </is>
      </c>
      <c r="F85" s="17" t="inlineStr">
        <is>
          <t>SPV 80% Reach</t>
        </is>
      </c>
      <c r="G85" s="17" t="inlineStr">
        <is>
          <t>School keeps Base</t>
        </is>
      </c>
      <c r="H85" s="17" t="inlineStr">
        <is>
          <t>School keeps Reach</t>
        </is>
      </c>
      <c r="I85" s="17" t="inlineStr"/>
      <c r="J85" s="17" t="inlineStr"/>
    </row>
    <row r="86">
      <c r="A86" s="18" t="inlineStr">
        <is>
          <t>St. Joseph's</t>
        </is>
      </c>
      <c r="B86" s="19">
        <f>B81</f>
        <v/>
      </c>
      <c r="C86" s="19">
        <f>C12+C19+C36+C51+C58+C64</f>
        <v/>
      </c>
      <c r="D86" s="19">
        <f>D12+D19+D36+D51+D58+D64</f>
        <v/>
      </c>
      <c r="E86" s="20">
        <f>0.8*(C86-B86)</f>
        <v/>
      </c>
      <c r="F86" s="21">
        <f>0.8*(D86-B86)</f>
        <v/>
      </c>
      <c r="G86" s="19">
        <f>B86+0.2*(C86-B86)</f>
        <v/>
      </c>
      <c r="H86" s="19">
        <f>B86+0.2*(D86-B86)</f>
        <v/>
      </c>
    </row>
    <row r="87">
      <c r="A87" s="18" t="inlineStr">
        <is>
          <t>Davidson</t>
        </is>
      </c>
      <c r="B87" s="19">
        <f>E81</f>
        <v/>
      </c>
      <c r="C87" s="19">
        <f>F12+F19+F36+F51+F58+F64</f>
        <v/>
      </c>
      <c r="D87" s="19">
        <f>G12+G19+G36+G51+G58+G64</f>
        <v/>
      </c>
      <c r="E87" s="20">
        <f>0.8*(C87-B87)</f>
        <v/>
      </c>
      <c r="F87" s="21">
        <f>0.8*(D87-B87)</f>
        <v/>
      </c>
      <c r="G87" s="19">
        <f>B87+0.2*(C87-B87)</f>
        <v/>
      </c>
      <c r="H87" s="19">
        <f>B87+0.2*(D87-B87)</f>
        <v/>
      </c>
    </row>
    <row r="88">
      <c r="A88" s="18" t="inlineStr">
        <is>
          <t>Hawaii</t>
        </is>
      </c>
      <c r="B88" s="19">
        <f>H81</f>
        <v/>
      </c>
      <c r="C88" s="19">
        <f>I12+I19+I36+I51+I58+I64</f>
        <v/>
      </c>
      <c r="D88" s="19">
        <f>J12+J19+J36+J51+J58+J64</f>
        <v/>
      </c>
      <c r="E88" s="20">
        <f>0.8*(C88-B88)</f>
        <v/>
      </c>
      <c r="F88" s="21">
        <f>0.8*(D88-B88)</f>
        <v/>
      </c>
      <c r="G88" s="19">
        <f>B88+0.2*(C88-B88)</f>
        <v/>
      </c>
      <c r="H88" s="19">
        <f>B88+0.2*(D88-B88)</f>
        <v/>
      </c>
    </row>
    <row r="90">
      <c r="A90" s="22" t="inlineStr">
        <is>
          <t>NOTES</t>
        </is>
      </c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</row>
    <row r="91">
      <c r="A91" s="24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92">
      <c r="A92" s="24" t="inlineStr">
        <is>
          <t>MECHANIC (simplified): baseline = the school's TOTAL current program revenue (one lump, the green PROGRAM REVENUE row). The school keeps the first [baseline] dollars; everything in Bucket 1 above the baseline splits 80/20 (SPV 80, school 20). Not itemized line-by-line.</t>
        </is>
      </c>
    </row>
    <row r="93">
      <c r="A93" s="24" t="inlineStr">
        <is>
          <t>Bucket 1 = the school's commercial revenue with MC (Ticketing, Media, Sponsorship/MMR, Apparel/Licensing, Guarantees, Camps). SPV 80% = 0.8 x (Bucket 1 w/MC - total baseline). School keeps baseline + 20% of the excess.</t>
        </is>
      </c>
    </row>
    <row r="94">
      <c r="A94" s="24" t="inlineStr">
        <is>
          <t>Institutional &amp; state support DECLINES with MC (base declines half as far as reach) — the program self-funds. NIL (memo): athlete funding paid BY the SPV — a cost, not revenue.</t>
        </is>
      </c>
    </row>
    <row r="95">
      <c r="A95" s="24" t="inlineStr">
        <is>
          <t>Bucket 2 (NOT on this sheet, 100% SPV, ~$15M): Netflix series (10 hrs @ $1.0M rev / $0.6M cost), 3 live games (&gt;$1M rev / $0.3M cost each), national presenting sponsor + patch, international + format. Roughly recoups the $15M SPV cost.</t>
        </is>
      </c>
    </row>
    <row r="96">
      <c r="A96" s="24" t="inlineStr">
        <is>
          <t>Marquee-game relocation assumed: St. Joe's -&gt; Wells Fargo Center (19k); Davidson -&gt; Spectrum Center (19k); Hawaii carried by its 10,300 arena + Diamond Head Classic. All figures ESTIMATES in $000s.</t>
        </is>
      </c>
    </row>
  </sheetData>
  <mergeCells count="10">
    <mergeCell ref="A1:J1"/>
    <mergeCell ref="E2:G2"/>
    <mergeCell ref="A93:J93"/>
    <mergeCell ref="A94:J94"/>
    <mergeCell ref="A92:J92"/>
    <mergeCell ref="A91:J91"/>
    <mergeCell ref="A95:J95"/>
    <mergeCell ref="A96:J96"/>
    <mergeCell ref="H2:J2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2026-07-16T02:20:24Z</dcterms:created>
  <dcterms:modified xmlns:dcterms="http://purl.org/dc/terms/" xmlns:xsi="http://www.w3.org/2001/XMLSchema-instance" xsi:type="dcterms:W3CDTF">2026-07-16T02:20:24Z</dcterms:modified>
</cp:coreProperties>
</file>