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alent Gr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  <font>
      <b val="1"/>
      <color rgb="00FFFFFF"/>
      <sz val="1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3" fontId="0" fillId="3" borderId="1" applyAlignment="1" pivotButton="0" quotePrefix="0" xfId="0">
      <alignment horizontal="right"/>
    </xf>
    <xf numFmtId="9" fontId="0" fillId="3" borderId="1" applyAlignment="1" pivotButton="0" quotePrefix="0" xfId="0">
      <alignment horizontal="right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Making Cinderella — Talent Comp vs Investor MOIC</t>
        </is>
      </c>
    </row>
    <row r="2">
      <c r="A2" s="2" t="inlineStr">
        <is>
          <t>Illustrative model. Yellow cells are inputs — edit them and every tier updates.</t>
        </is>
      </c>
    </row>
    <row r="4">
      <c r="A4" s="3" t="inlineStr">
        <is>
          <t>INPUTS (edit)</t>
        </is>
      </c>
      <c r="B4" s="4" t="n"/>
    </row>
    <row r="5">
      <c r="A5" t="inlineStr">
        <is>
          <t>Investor capital into the SPV ($)</t>
        </is>
      </c>
      <c r="B5" s="5" t="n">
        <v>12000000</v>
      </c>
    </row>
    <row r="6">
      <c r="A6" t="inlineStr">
        <is>
          <t>Parent base equity — pre-talent (%)</t>
        </is>
      </c>
      <c r="B6" s="6" t="n">
        <v>0.4</v>
      </c>
    </row>
    <row r="7">
      <c r="A7" t="inlineStr">
        <is>
          <t>Investor base equity — pre-talent (%)</t>
        </is>
      </c>
      <c r="B7" s="6">
        <f>1-B5</f>
        <v/>
      </c>
    </row>
    <row r="8">
      <c r="A8" t="inlineStr"/>
    </row>
    <row r="9">
      <c r="A9" t="inlineStr">
        <is>
          <t>Distributable to equity over SPV life — BEAR ($)</t>
        </is>
      </c>
      <c r="B9" s="5" t="n">
        <v>28000000</v>
      </c>
    </row>
    <row r="10">
      <c r="A10" t="inlineStr">
        <is>
          <t>Distributable to equity over SPV life — BASE ($)</t>
        </is>
      </c>
      <c r="B10" s="5" t="n">
        <v>50000000</v>
      </c>
    </row>
    <row r="11">
      <c r="A11" t="inlineStr">
        <is>
          <t>Distributable to equity over SPV life — BULL ($)</t>
        </is>
      </c>
      <c r="B11" s="5" t="n">
        <v>80000000</v>
      </c>
    </row>
    <row r="13">
      <c r="A13" t="inlineStr"/>
    </row>
    <row r="14">
      <c r="A14" s="7" t="inlineStr">
        <is>
          <t>HOW IT WORKS</t>
        </is>
      </c>
    </row>
    <row r="15">
      <c r="A15" t="inlineStr">
        <is>
          <t>• 'Distributable to equity' = total cash available to the SPV cap table over its life,</t>
        </is>
      </c>
    </row>
    <row r="16">
      <c r="A16" t="inlineStr">
        <is>
          <t xml:space="preserve">   BEFORE the talent cash fee (which is modeled as an SPV cost, paid first).</t>
        </is>
      </c>
    </row>
    <row r="17">
      <c r="A17" t="inlineStr">
        <is>
          <t>• Investor MOIC = investor's share of (distributable − talent cash) ÷ investor capital in.</t>
        </is>
      </c>
    </row>
    <row r="18">
      <c r="A18" t="inlineStr">
        <is>
          <t>• Two ways talent equity can dilute:</t>
        </is>
      </c>
    </row>
    <row r="19">
      <c r="A19" t="inlineStr">
        <is>
          <t xml:space="preserve">   – PRO-RATA: talent % comes off the whole cap table → hits investors directly (default columns).</t>
        </is>
      </c>
    </row>
    <row r="20">
      <c r="A20" t="inlineStr">
        <is>
          <t xml:space="preserve">   – PARENT-ABSORBED: talent % comes out of the PARENT's promote → investors untouched (last column).</t>
        </is>
      </c>
    </row>
    <row r="21">
      <c r="A21" t="inlineStr">
        <is>
          <t>• KEY LEVER: negotiate talent equity to come (at least partly) from the parent's 40%, not pro-rata.</t>
        </is>
      </c>
    </row>
    <row r="22">
      <c r="A22" t="inlineStr">
        <is>
          <t xml:space="preserve">   Same offer to the talent; very different investor return. See how the last column barely moves.</t>
        </is>
      </c>
    </row>
    <row r="23">
      <c r="A23" t="inlineStr">
        <is>
          <t>• Baseline row (no talent) shows the ceiling you're diluting from.</t>
        </is>
      </c>
    </row>
    <row r="24">
      <c r="A24" t="inlineStr">
        <is>
          <t>• All figures illustrative — replace the four yellow inputs with the real SPV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5" customWidth="1" min="3" max="3"/>
    <col width="10" customWidth="1" min="4" max="4"/>
    <col width="18" customWidth="1" min="5" max="5"/>
    <col width="13" customWidth="1" min="6" max="6"/>
    <col width="13" customWidth="1" min="7" max="7"/>
    <col width="13" customWidth="1" min="8" max="8"/>
    <col width="20" customWidth="1" min="9" max="9"/>
    <col width="20" customWidth="1" min="10" max="10"/>
  </cols>
  <sheetData>
    <row r="1">
      <c r="A1" s="1" t="inlineStr">
        <is>
          <t>Talent Comp Tiers → Investor MOIC</t>
        </is>
      </c>
    </row>
    <row r="2">
      <c r="A2" s="2" t="inlineStr">
        <is>
          <t>Cash floor + equity grant per 12-month season. Investor MOIC under three revenue scenarios.</t>
        </is>
      </c>
    </row>
    <row r="4">
      <c r="A4" s="8" t="inlineStr">
        <is>
          <t>Tier</t>
        </is>
      </c>
      <c r="B4" s="8" t="inlineStr">
        <is>
          <t>Example</t>
        </is>
      </c>
      <c r="C4" s="8" t="inlineStr">
        <is>
          <t>Cash floor ($)</t>
        </is>
      </c>
      <c r="D4" s="8" t="inlineStr">
        <is>
          <t>Equity %</t>
        </is>
      </c>
      <c r="E4" s="8" t="inlineStr">
        <is>
          <t>Talent take — Base ($)</t>
        </is>
      </c>
      <c r="F4" s="8" t="inlineStr">
        <is>
          <t>Inv MOIC — Bear</t>
        </is>
      </c>
      <c r="G4" s="8" t="inlineStr">
        <is>
          <t>Inv MOIC — Base</t>
        </is>
      </c>
      <c r="H4" s="8" t="inlineStr">
        <is>
          <t>Inv MOIC — Bull</t>
        </is>
      </c>
      <c r="I4" s="8" t="inlineStr">
        <is>
          <t>Inv MOIC — Base (parent-absorbed)</t>
        </is>
      </c>
      <c r="J4" s="8" t="inlineStr">
        <is>
          <t>Parent equity left (absorbed)</t>
        </is>
      </c>
    </row>
    <row r="5">
      <c r="A5" s="9" t="inlineStr">
        <is>
          <t>No talent (baseline)</t>
        </is>
      </c>
      <c r="B5" s="9" t="inlineStr">
        <is>
          <t>—</t>
        </is>
      </c>
      <c r="C5" s="10" t="n">
        <v>0</v>
      </c>
      <c r="D5" s="11" t="n">
        <v>0</v>
      </c>
      <c r="E5" s="10">
        <f>C5+D5*(Assumptions!$B$10-C5)</f>
        <v/>
      </c>
      <c r="F5" s="12">
        <f>Assumptions!$B$7*(1-D5)*(Assumptions!$B$9-C5)/Assumptions!$B$5</f>
        <v/>
      </c>
      <c r="G5" s="12">
        <f>Assumptions!$B$7*(1-D5)*(Assumptions!$B$10-C5)/Assumptions!$B$5</f>
        <v/>
      </c>
      <c r="H5" s="12">
        <f>Assumptions!$B$7*(1-D5)*(Assumptions!$B$11-C5)/Assumptions!$B$5</f>
        <v/>
      </c>
      <c r="I5" s="12">
        <f>Assumptions!$B$7*(Assumptions!$B$10-C5)/Assumptions!$B$5</f>
        <v/>
      </c>
      <c r="J5" s="11">
        <f>Assumptions!$B$6-D5</f>
        <v/>
      </c>
    </row>
    <row r="6">
      <c r="A6" s="9" t="inlineStr">
        <is>
          <t>Co-lead ex-athlete</t>
        </is>
      </c>
      <c r="B6" s="9" t="inlineStr">
        <is>
          <t>Tim Hardaway</t>
        </is>
      </c>
      <c r="C6" s="10" t="n">
        <v>100000</v>
      </c>
      <c r="D6" s="11" t="n">
        <v>0.1</v>
      </c>
      <c r="E6" s="10">
        <f>C6+D6*(Assumptions!$B$10-C6)</f>
        <v/>
      </c>
      <c r="F6" s="12">
        <f>Assumptions!$B$7*(1-D6)*(Assumptions!$B$9-C6)/Assumptions!$B$5</f>
        <v/>
      </c>
      <c r="G6" s="12">
        <f>Assumptions!$B$7*(1-D6)*(Assumptions!$B$10-C6)/Assumptions!$B$5</f>
        <v/>
      </c>
      <c r="H6" s="12">
        <f>Assumptions!$B$7*(1-D6)*(Assumptions!$B$11-C6)/Assumptions!$B$5</f>
        <v/>
      </c>
      <c r="I6" s="12">
        <f>Assumptions!$B$7*(Assumptions!$B$10-C6)/Assumptions!$B$5</f>
        <v/>
      </c>
      <c r="J6" s="11">
        <f>Assumptions!$B$6-D6</f>
        <v/>
      </c>
    </row>
    <row r="7">
      <c r="A7" s="9" t="inlineStr">
        <is>
          <t>Iconic legend</t>
        </is>
      </c>
      <c r="B7" s="9" t="inlineStr">
        <is>
          <t>Julius Erving</t>
        </is>
      </c>
      <c r="C7" s="10" t="n">
        <v>275000</v>
      </c>
      <c r="D7" s="11" t="n">
        <v>0.125</v>
      </c>
      <c r="E7" s="10">
        <f>C7+D7*(Assumptions!$B$10-C7)</f>
        <v/>
      </c>
      <c r="F7" s="12">
        <f>Assumptions!$B$7*(1-D7)*(Assumptions!$B$9-C7)/Assumptions!$B$5</f>
        <v/>
      </c>
      <c r="G7" s="12">
        <f>Assumptions!$B$7*(1-D7)*(Assumptions!$B$10-C7)/Assumptions!$B$5</f>
        <v/>
      </c>
      <c r="H7" s="12">
        <f>Assumptions!$B$7*(1-D7)*(Assumptions!$B$11-C7)/Assumptions!$B$5</f>
        <v/>
      </c>
      <c r="I7" s="12">
        <f>Assumptions!$B$7*(Assumptions!$B$10-C7)/Assumptions!$B$5</f>
        <v/>
      </c>
      <c r="J7" s="11">
        <f>Assumptions!$B$6-D7</f>
        <v/>
      </c>
    </row>
    <row r="8">
      <c r="A8" s="9" t="inlineStr">
        <is>
          <t>National star</t>
        </is>
      </c>
      <c r="B8" s="9" t="inlineStr">
        <is>
          <t>big comedian/musician</t>
        </is>
      </c>
      <c r="C8" s="10" t="n">
        <v>700000</v>
      </c>
      <c r="D8" s="11" t="n">
        <v>0.2</v>
      </c>
      <c r="E8" s="10">
        <f>C8+D8*(Assumptions!$B$10-C8)</f>
        <v/>
      </c>
      <c r="F8" s="12">
        <f>Assumptions!$B$7*(1-D8)*(Assumptions!$B$9-C8)/Assumptions!$B$5</f>
        <v/>
      </c>
      <c r="G8" s="12">
        <f>Assumptions!$B$7*(1-D8)*(Assumptions!$B$10-C8)/Assumptions!$B$5</f>
        <v/>
      </c>
      <c r="H8" s="12">
        <f>Assumptions!$B$7*(1-D8)*(Assumptions!$B$11-C8)/Assumptions!$B$5</f>
        <v/>
      </c>
      <c r="I8" s="12">
        <f>Assumptions!$B$7*(Assumptions!$B$10-C8)/Assumptions!$B$5</f>
        <v/>
      </c>
      <c r="J8" s="11">
        <f>Assumptions!$B$6-D8</f>
        <v/>
      </c>
    </row>
    <row r="9">
      <c r="A9" s="9" t="inlineStr">
        <is>
          <t>A-list standalone</t>
        </is>
      </c>
      <c r="B9" s="9" t="inlineStr">
        <is>
          <t>Adam Sandler / Denzel</t>
        </is>
      </c>
      <c r="C9" s="10" t="n">
        <v>1000000</v>
      </c>
      <c r="D9" s="11" t="n">
        <v>0.3</v>
      </c>
      <c r="E9" s="10">
        <f>C9+D9*(Assumptions!$B$10-C9)</f>
        <v/>
      </c>
      <c r="F9" s="12">
        <f>Assumptions!$B$7*(1-D9)*(Assumptions!$B$9-C9)/Assumptions!$B$5</f>
        <v/>
      </c>
      <c r="G9" s="12">
        <f>Assumptions!$B$7*(1-D9)*(Assumptions!$B$10-C9)/Assumptions!$B$5</f>
        <v/>
      </c>
      <c r="H9" s="12">
        <f>Assumptions!$B$7*(1-D9)*(Assumptions!$B$11-C9)/Assumptions!$B$5</f>
        <v/>
      </c>
      <c r="I9" s="12">
        <f>Assumptions!$B$7*(Assumptions!$B$10-C9)/Assumptions!$B$5</f>
        <v/>
      </c>
      <c r="J9" s="11">
        <f>Assumptions!$B$6-D9</f>
        <v/>
      </c>
    </row>
    <row r="11">
      <c r="A11" s="13" t="inlineStr">
        <is>
          <t>Reads: pro-rata dilution (Bear/Base/Bull) is what investors feel if talent equity comes off the whole table.</t>
        </is>
      </c>
    </row>
    <row r="12">
      <c r="A12" s="13" t="inlineStr">
        <is>
          <t>The 'parent-absorbed' column ≈ the no-talent MOIC — proof that WHERE the equity comes from matters more than how much.</t>
        </is>
      </c>
    </row>
    <row r="13">
      <c r="A13" s="13" t="inlineStr">
        <is>
          <t>If 'Parent equity left' goes negative, the parent can't fully absorb that grant (e.g., two A-listers) — then some hits investors.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2026-08-18T21:45:14Z</dcterms:created>
  <dcterms:modified xsi:type="dcterms:W3CDTF">2026-08-18T21:45:14Z</dcterms:modified>
</cp:coreProperties>
</file>